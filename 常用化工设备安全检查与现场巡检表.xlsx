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0f47eb6cd44d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设备速查" sheetId="1" r:id="R24622b9f592c4acf"/>
    <x:sheet xmlns:r="http://schemas.openxmlformats.org/officeDocument/2006/relationships" name="检查知识库" sheetId="2" r:id="R1cbc28f143364347"/>
    <x:sheet xmlns:r="http://schemas.openxmlformats.org/officeDocument/2006/relationships" name="现场巡检记录" sheetId="3" r:id="Ra38fc45f15aa4188"/>
    <x:sheet xmlns:r="http://schemas.openxmlformats.org/officeDocument/2006/relationships" name="使用说明与来源" sheetId="4" r:id="R97e4a67d9dec41b6"/>
    <x:sheet xmlns:r="http://schemas.openxmlformats.org/officeDocument/2006/relationships" name="下拉选项" sheetId="5" r:id="R5061c70fadf34f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000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20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20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20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20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0" fontId="4" fillId="5" borderId="1" xfId="0" applyNumberFormat="1" applyFont="1" applyFill="1" applyBorder="1" applyAlignment="1">
      <x:alignment horizontal="center" vertical="center" wrapText="1"/>
    </x:xf>
    <x:xf numFmtId="200" fontId="4" fillId="6" borderId="0" xfId="0" applyNumberFormat="1" applyFont="1" applyFill="1" applyBorder="1" applyAlignment="1">
      <x:alignment horizontal="center" vertical="center" wrapText="1"/>
    </x:xf>
    <x:xf numFmtId="200" fontId="5" fillId="6" borderId="0" xfId="0" applyNumberFormat="1" applyFont="1" applyFill="1" applyBorder="1" applyAlignment="1">
      <x:alignment horizontal="center" vertical="center" wrapText="1"/>
    </x:xf>
    <x:xf numFmtId="200" fontId="4" fillId="6" borderId="1" xfId="0" applyNumberFormat="1" applyFont="1" applyFill="1" applyBorder="1" applyAlignment="1">
      <x:alignment horizontal="center" vertical="center" wrapText="1"/>
    </x:xf>
    <x:xf numFmtId="200" fontId="5" fillId="6" borderId="1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5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45818e5e8047c5" /><Relationship Type="http://schemas.openxmlformats.org/officeDocument/2006/relationships/theme" Target="/xl/theme/theme1.xml" Id="R1d4256c2000246f6" /><Relationship Type="http://schemas.openxmlformats.org/officeDocument/2006/relationships/sharedStrings" Target="/xl/sharedStrings.xml" Id="R2f0eb0d8d752440b" /><Relationship Type="http://schemas.openxmlformats.org/officeDocument/2006/relationships/worksheet" Target="/xl/worksheets/sheet1.xml" Id="R24622b9f592c4acf" /><Relationship Type="http://schemas.openxmlformats.org/officeDocument/2006/relationships/worksheet" Target="/xl/worksheets/sheet2.xml" Id="R1cbc28f143364347" /><Relationship Type="http://schemas.openxmlformats.org/officeDocument/2006/relationships/worksheet" Target="/xl/worksheets/sheet3.xml" Id="Ra38fc45f15aa4188" /><Relationship Type="http://schemas.openxmlformats.org/officeDocument/2006/relationships/worksheet" Target="/xl/worksheets/sheet4.xml" Id="R97e4a67d9dec41b6" /><Relationship Type="http://schemas.openxmlformats.org/officeDocument/2006/relationships/worksheet" Target="/xl/worksheets/sheet5.xml" Id="R5061c70fadf34fcb" /></Relationships>
</file>

<file path=xl/tables/table1.xml><?xml version="1.0" encoding="utf-8"?>
<x:table xmlns:x="http://schemas.openxmlformats.org/spreadsheetml/2006/main" id="1" name="EquipmentSummaryTable" displayName="EquipmentSummaryTable" ref="A4:H22" headerRowCount="1">
  <x:tableColumns count="8">
    <x:tableColumn id="1" name="设备类别"/>
    <x:tableColumn id="2" name="设备名称"/>
    <x:tableColumn id="3" name="检查项数量"/>
    <x:tableColumn id="4" name="重点检查内容"/>
    <x:tableColumn id="5" name="典型主要风险"/>
    <x:tableColumn id="6" name="现场判定"/>
    <x:tableColumn id="7" name="详细方法所在表"/>
    <x:tableColumn id="8" name="记录模板所在表"/>
  </x:tableColumns>
  <x:tableStyleInfo name="TableStyleMedium2" showRowStripes="1"/>
</x:table>
</file>

<file path=xl/tables/table2.xml><?xml version="1.0" encoding="utf-8"?>
<x:table xmlns:x="http://schemas.openxmlformats.org/spreadsheetml/2006/main" id="2" name="InspectionKnowledgeTable" displayName="InspectionKnowledgeTable" ref="A4:J111" headerRowCount="1">
  <x:tableColumns count="10">
    <x:tableColumn id="1" name="编号"/>
    <x:tableColumn id="2" name="设备类别"/>
    <x:tableColumn id="3" name="设备名称"/>
    <x:tableColumn id="4" name="检查项目"/>
    <x:tableColumn id="5" name="检查方法"/>
    <x:tableColumn id="6" name="正常判定标准"/>
    <x:tableColumn id="7" name="异常后果/风险"/>
    <x:tableColumn id="8" name="发现异常后的建议处置"/>
    <x:tableColumn id="9" name="建议检查频次"/>
    <x:tableColumn id="10" name="建议责任角色"/>
  </x:tableColumns>
  <x:tableStyleInfo name="TableStyleMedium2" showRowStripes="1"/>
</x:table>
</file>

<file path=xl/tables/table3.xml><?xml version="1.0" encoding="utf-8"?>
<x:table xmlns:x="http://schemas.openxmlformats.org/spreadsheetml/2006/main" id="3" name="PatrolRecordTable" displayName="PatrolRecordTable" ref="A4:O64" headerRowCount="1">
  <x:tableColumns count="15">
    <x:tableColumn id="1" name="序号"/>
    <x:tableColumn id="2" name="设备名称"/>
    <x:tableColumn id="3" name="设备位号"/>
    <x:tableColumn id="4" name="检查项目"/>
    <x:tableColumn id="5" name="检查方法/观察点"/>
    <x:tableColumn id="6" name="正常标准或工艺限值"/>
    <x:tableColumn id="7" name="检查结果"/>
    <x:tableColumn id="8" name="实测值/现场情况"/>
    <x:tableColumn id="9" name="异常描述"/>
    <x:tableColumn id="10" name="立即采取的措施"/>
    <x:tableColumn id="11" name="整改责任人"/>
    <x:tableColumn id="12" name="整改期限"/>
    <x:tableColumn id="13" name="复查结果"/>
    <x:tableColumn id="14" name="复查人"/>
    <x:tableColumn id="15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4b1c04ff724ea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946115c8f8449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4ed897902df40c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0" hidden="0" customWidth="1"/>
    <x:col min="4" max="4" width="42" hidden="0" customWidth="1"/>
    <x:col min="5" max="5" width="32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5" t="str">
        <x:v>常用化工设备安全检查速查表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3" t="str">
        <x:v>用于班组巡检、课程设计和安全管理模板；实际检查范围、限值和频次应以设备说明书、工艺规程、SDS及企业制度为准。</x:v>
      </x:c>
      <x:c r="B2" s="13"/>
      <x:c r="C2" s="13"/>
      <x:c r="D2" s="13"/>
      <x:c r="E2" s="13"/>
      <x:c r="F2" s="13"/>
      <x:c r="G2" s="13"/>
      <x:c r="H2" s="13"/>
    </x:row>
    <x:row r="4">
      <x:c r="A4" s="22" t="str">
        <x:v>设备类别</x:v>
      </x:c>
      <x:c r="B4" s="22" t="str">
        <x:v>设备名称</x:v>
      </x:c>
      <x:c r="C4" s="22" t="str">
        <x:v>检查项数量</x:v>
      </x:c>
      <x:c r="D4" s="22" t="str">
        <x:v>重点检查内容</x:v>
      </x:c>
      <x:c r="E4" s="22" t="str">
        <x:v>典型主要风险</x:v>
      </x:c>
      <x:c r="F4" s="22" t="str">
        <x:v>现场判定</x:v>
      </x:c>
      <x:c r="G4" s="22" t="str">
        <x:v>详细方法所在表</x:v>
      </x:c>
      <x:c r="H4" s="22" t="str">
        <x:v>记录模板所在表</x:v>
      </x:c>
    </x:row>
    <x:row r="5" ht="62" customHeight="1">
      <x:c r="A5" s="30" t="str">
        <x:v>反应设备</x:v>
      </x:c>
      <x:c r="B5" s="30" t="str">
        <x:v>反应釜</x:v>
      </x:c>
      <x:c r="C5" s="30" t="n">
        <x:v>10</x:v>
      </x:c>
      <x:c r="D5" s="30" t="str">
        <x:v>温度是否超过安全范围；压力是否异常；冷却系统是否正常；搅拌装置是否运行等</x:v>
      </x:c>
      <x:c r="E5" s="30" t="str">
        <x:v>超温、超压、失冷、停搅拌、泄漏</x:v>
      </x:c>
      <x:c r="F5" s="30" t="str">
        <x:v>正常/异常/不适用</x:v>
      </x:c>
      <x:c r="G5" s="30" t="str">
        <x:v>检查知识库</x:v>
      </x:c>
      <x:c r="H5" s="30" t="str">
        <x:v>现场巡检记录</x:v>
      </x:c>
    </x:row>
    <x:row r="6" ht="62" customHeight="1">
      <x:c r="A6" s="30" t="str">
        <x:v>储存设备</x:v>
      </x:c>
      <x:c r="B6" s="30" t="str">
        <x:v>化学品储罐</x:v>
      </x:c>
      <x:c r="C6" s="30" t="n">
        <x:v>8</x:v>
      </x:c>
      <x:c r="D6" s="30" t="str">
        <x:v>液位是否正常；罐体是否变形腐蚀；呼吸阀/阻火器是否畅通；围堰和排水是否有效等</x:v>
      </x:c>
      <x:c r="E6" s="30" t="str">
        <x:v>溢流、腐蚀泄漏、静电雷击、呼吸阀堵塞</x:v>
      </x:c>
      <x:c r="F6" s="30" t="str">
        <x:v>正常/异常/不适用</x:v>
      </x:c>
      <x:c r="G6" s="30" t="str">
        <x:v>检查知识库</x:v>
      </x:c>
      <x:c r="H6" s="30" t="str">
        <x:v>现场巡检记录</x:v>
      </x:c>
    </x:row>
    <x:row r="7" ht="62" customHeight="1">
      <x:c r="A7" s="30" t="str">
        <x:v>分离设备</x:v>
      </x:c>
      <x:c r="B7" s="30" t="str">
        <x:v>蒸馏塔/精馏塔</x:v>
      </x:c>
      <x:c r="C7" s="30" t="n">
        <x:v>7</x:v>
      </x:c>
      <x:c r="D7" s="30" t="str">
        <x:v>塔顶塔釜温度是否异常；塔压和压差是否异常；冷凝器和回流是否正常；再沸器加热是否受控等</x:v>
      </x:c>
      <x:c r="E7" s="30" t="str">
        <x:v>塔压升高、液泛、冷凝失效、干蒸</x:v>
      </x:c>
      <x:c r="F7" s="30" t="str">
        <x:v>正常/异常/不适用</x:v>
      </x:c>
      <x:c r="G7" s="30" t="str">
        <x:v>检查知识库</x:v>
      </x:c>
      <x:c r="H7" s="30" t="str">
        <x:v>现场巡检记录</x:v>
      </x:c>
    </x:row>
    <x:row r="8" ht="62" customHeight="1">
      <x:c r="A8" s="30" t="str">
        <x:v>传热设备</x:v>
      </x:c>
      <x:c r="B8" s="30" t="str">
        <x:v>换热器/冷凝器</x:v>
      </x:c>
      <x:c r="C8" s="30" t="n">
        <x:v>6</x:v>
      </x:c>
      <x:c r="D8" s="30" t="str">
        <x:v>进出口温度和温差是否正常；两侧压力和压差是否异常；是否发生介质串漏；冷却水流量是否正常等</x:v>
      </x:c>
      <x:c r="E8" s="30" t="str">
        <x:v>串漏、堵塞、冷却不足、超压</x:v>
      </x:c>
      <x:c r="F8" s="30" t="str">
        <x:v>正常/异常/不适用</x:v>
      </x:c>
      <x:c r="G8" s="30" t="str">
        <x:v>检查知识库</x:v>
      </x:c>
      <x:c r="H8" s="30" t="str">
        <x:v>现场巡检记录</x:v>
      </x:c>
    </x:row>
    <x:row r="9" ht="62" customHeight="1">
      <x:c r="A9" s="30" t="str">
        <x:v>输送设备</x:v>
      </x:c>
      <x:c r="B9" s="30" t="str">
        <x:v>离心泵/计量泵</x:v>
      </x:c>
      <x:c r="C9" s="30" t="n">
        <x:v>6</x:v>
      </x:c>
      <x:c r="D9" s="30" t="str">
        <x:v>出口压力和流量是否正常；机械密封是否泄漏；振动、温度和噪声是否异常；是否汽蚀或空转等</x:v>
      </x:c>
      <x:c r="E9" s="30" t="str">
        <x:v>密封泄漏、汽蚀、空转、机械故障</x:v>
      </x:c>
      <x:c r="F9" s="30" t="str">
        <x:v>正常/异常/不适用</x:v>
      </x:c>
      <x:c r="G9" s="30" t="str">
        <x:v>检查知识库</x:v>
      </x:c>
      <x:c r="H9" s="30" t="str">
        <x:v>现场巡检记录</x:v>
      </x:c>
    </x:row>
    <x:row r="10" ht="62" customHeight="1">
      <x:c r="A10" s="30" t="str">
        <x:v>输送设备</x:v>
      </x:c>
      <x:c r="B10" s="30" t="str">
        <x:v>气体压缩机</x:v>
      </x:c>
      <x:c r="C10" s="30" t="n">
        <x:v>6</x:v>
      </x:c>
      <x:c r="D10" s="30" t="str">
        <x:v>吸排气压力温度是否正常；润滑油压力液位温度是否正常；冷却系统是否正常；安全阀和防喘振系统是否有效等</x:v>
      </x:c>
      <x:c r="E10" s="30" t="str">
        <x:v>超温超压、喘振、密封泄漏、润滑失效</x:v>
      </x:c>
      <x:c r="F10" s="30" t="str">
        <x:v>正常/异常/不适用</x:v>
      </x:c>
      <x:c r="G10" s="30" t="str">
        <x:v>检查知识库</x:v>
      </x:c>
      <x:c r="H10" s="30" t="str">
        <x:v>现场巡检记录</x:v>
      </x:c>
    </x:row>
    <x:row r="11" ht="62" customHeight="1">
      <x:c r="A11" s="30" t="str">
        <x:v>分离设备</x:v>
      </x:c>
      <x:c r="B11" s="30" t="str">
        <x:v>离心机</x:v>
      </x:c>
      <x:c r="C11" s="30" t="n">
        <x:v>6</x:v>
      </x:c>
      <x:c r="D11" s="30" t="str">
        <x:v>转速是否在安全范围；振动是否异常；盖锁和开盖联锁是否有效；进料是否均匀且不过载等</x:v>
      </x:c>
      <x:c r="E11" s="30" t="str">
        <x:v>超速、不平衡、开盖联锁失效、惰化失效</x:v>
      </x:c>
      <x:c r="F11" s="30" t="str">
        <x:v>正常/异常/不适用</x:v>
      </x:c>
      <x:c r="G11" s="30" t="str">
        <x:v>检查知识库</x:v>
      </x:c>
      <x:c r="H11" s="30" t="str">
        <x:v>现场巡检记录</x:v>
      </x:c>
    </x:row>
    <x:row r="12" ht="62" customHeight="1">
      <x:c r="A12" s="30" t="str">
        <x:v>干燥设备</x:v>
      </x:c>
      <x:c r="B12" s="30" t="str">
        <x:v>真空干燥箱/回转干燥机</x:v>
      </x:c>
      <x:c r="C12" s="30" t="n">
        <x:v>6</x:v>
      </x:c>
      <x:c r="D12" s="30" t="str">
        <x:v>温度是否超过物料安全温度；真空度/压力是否正常；尾气冷凝和回收是否正常；粉尘积聚是否清理等</x:v>
      </x:c>
      <x:c r="E12" s="30" t="str">
        <x:v>超温、空气进入、溶剂/粉尘爆炸</x:v>
      </x:c>
      <x:c r="F12" s="30" t="str">
        <x:v>正常/异常/不适用</x:v>
      </x:c>
      <x:c r="G12" s="30" t="str">
        <x:v>检查知识库</x:v>
      </x:c>
      <x:c r="H12" s="30" t="str">
        <x:v>现场巡检记录</x:v>
      </x:c>
    </x:row>
    <x:row r="13" ht="62" customHeight="1">
      <x:c r="A13" s="30" t="str">
        <x:v>分离设备</x:v>
      </x:c>
      <x:c r="B13" s="30" t="str">
        <x:v>过滤器/压滤机</x:v>
      </x:c>
      <x:c r="C13" s="30" t="n">
        <x:v>5</x:v>
      </x:c>
      <x:c r="D13" s="30" t="str">
        <x:v>压差是否异常；压紧机构是否可靠；壳体、滤板和软管是否泄漏；开盖前是否完全泄压等</x:v>
      </x:c>
      <x:c r="E13" s="30" t="str">
        <x:v>超压、喷料、开盖带压、自燃滤饼</x:v>
      </x:c>
      <x:c r="F13" s="30" t="str">
        <x:v>正常/异常/不适用</x:v>
      </x:c>
      <x:c r="G13" s="30" t="str">
        <x:v>检查知识库</x:v>
      </x:c>
      <x:c r="H13" s="30" t="str">
        <x:v>现场巡检记录</x:v>
      </x:c>
    </x:row>
    <x:row r="14" ht="62" customHeight="1">
      <x:c r="A14" s="30" t="str">
        <x:v>公用工程</x:v>
      </x:c>
      <x:c r="B14" s="30" t="str">
        <x:v>蒸汽锅炉</x:v>
      </x:c>
      <x:c r="C14" s="30" t="n">
        <x:v>6</x:v>
      </x:c>
      <x:c r="D14" s="30" t="str">
        <x:v>水位是否正常且水位计清晰；蒸汽压力是否正常；燃烧是否稳定；低水位、熄火和超压联锁是否有效等</x:v>
      </x:c>
      <x:c r="E14" s="30" t="str">
        <x:v>缺水、超压、炉膛爆炸、燃料泄漏</x:v>
      </x:c>
      <x:c r="F14" s="30" t="str">
        <x:v>正常/异常/不适用</x:v>
      </x:c>
      <x:c r="G14" s="30" t="str">
        <x:v>检查知识库</x:v>
      </x:c>
      <x:c r="H14" s="30" t="str">
        <x:v>现场巡检记录</x:v>
      </x:c>
    </x:row>
    <x:row r="15" ht="62" customHeight="1">
      <x:c r="A15" s="30" t="str">
        <x:v>承压设备</x:v>
      </x:c>
      <x:c r="B15" s="30" t="str">
        <x:v>压力容器/气液分离罐</x:v>
      </x:c>
      <x:c r="C15" s="30" t="n">
        <x:v>5</x:v>
      </x:c>
      <x:c r="D15" s="30" t="str">
        <x:v>压力温度是否在设计范围；安全阀、爆破片和压力表是否有效；壳体焊缝支座是否异常；液位和排凝是否正常等</x:v>
      </x:c>
      <x:c r="E15" s="30" t="str">
        <x:v>超压、腐蚀裂纹、安全附件失效</x:v>
      </x:c>
      <x:c r="F15" s="30" t="str">
        <x:v>正常/异常/不适用</x:v>
      </x:c>
      <x:c r="G15" s="30" t="str">
        <x:v>检查知识库</x:v>
      </x:c>
      <x:c r="H15" s="30" t="str">
        <x:v>现场巡检记录</x:v>
      </x:c>
    </x:row>
    <x:row r="16" ht="62" customHeight="1">
      <x:c r="A16" s="30" t="str">
        <x:v>管道系统</x:v>
      </x:c>
      <x:c r="B16" s="30" t="str">
        <x:v>工艺管道与阀门</x:v>
      </x:c>
      <x:c r="C16" s="30" t="n">
        <x:v>6</x:v>
      </x:c>
      <x:c r="D16" s="30" t="str">
        <x:v>管道法兰阀门是否泄漏；管道是否腐蚀减薄或异常振动；阀位和盲板状态是否正确；支吊架和补偿器是否正常等</x:v>
      </x:c>
      <x:c r="E16" s="30" t="str">
        <x:v>泄漏、腐蚀减薄、误操作、应力破坏</x:v>
      </x:c>
      <x:c r="F16" s="30" t="str">
        <x:v>正常/异常/不适用</x:v>
      </x:c>
      <x:c r="G16" s="30" t="str">
        <x:v>检查知识库</x:v>
      </x:c>
      <x:c r="H16" s="30" t="str">
        <x:v>现场巡检记录</x:v>
      </x:c>
    </x:row>
    <x:row r="17" ht="62" customHeight="1">
      <x:c r="A17" s="30" t="str">
        <x:v>公用工程</x:v>
      </x:c>
      <x:c r="B17" s="30" t="str">
        <x:v>制冷机组/冷水机</x:v>
      </x:c>
      <x:c r="C17" s="30" t="n">
        <x:v>5</x:v>
      </x:c>
      <x:c r="D17" s="30" t="str">
        <x:v>供回水温度和流量是否正常；制冷剂压力温度是否异常；制冷剂是否泄漏；备用机组是否可启动等</x:v>
      </x:c>
      <x:c r="E17" s="30" t="str">
        <x:v>失冷、制冷剂泄漏、高低压异常</x:v>
      </x:c>
      <x:c r="F17" s="30" t="str">
        <x:v>正常/异常/不适用</x:v>
      </x:c>
      <x:c r="G17" s="30" t="str">
        <x:v>检查知识库</x:v>
      </x:c>
      <x:c r="H17" s="30" t="str">
        <x:v>现场巡检记录</x:v>
      </x:c>
    </x:row>
    <x:row r="18" ht="62" customHeight="1">
      <x:c r="A18" s="30" t="str">
        <x:v>反应/配料设备</x:v>
      </x:c>
      <x:c r="B18" s="30" t="str">
        <x:v>常压搅拌槽</x:v>
      </x:c>
      <x:c r="C18" s="30" t="n">
        <x:v>5</x:v>
      </x:c>
      <x:c r="D18" s="30" t="str">
        <x:v>搅拌转速电流是否稳定；液位是否在安全范围；投料顺序和物料标识是否正确；通风/集气罩是否正常等</x:v>
      </x:c>
      <x:c r="E18" s="30" t="str">
        <x:v>误投料、溢流、蒸气逸散、搅拌故障</x:v>
      </x:c>
      <x:c r="F18" s="30" t="str">
        <x:v>正常/异常/不适用</x:v>
      </x:c>
      <x:c r="G18" s="30" t="str">
        <x:v>检查知识库</x:v>
      </x:c>
      <x:c r="H18" s="30" t="str">
        <x:v>现场巡检记录</x:v>
      </x:c>
    </x:row>
    <x:row r="19" ht="62" customHeight="1">
      <x:c r="A19" s="30" t="str">
        <x:v>环保设备</x:v>
      </x:c>
      <x:c r="B19" s="30" t="str">
        <x:v>尾气吸收塔/洗涤塔</x:v>
      </x:c>
      <x:c r="C19" s="30" t="n">
        <x:v>5</x:v>
      </x:c>
      <x:c r="D19" s="30" t="str">
        <x:v>循环液流量是否正常；吸收液pH/浓度是否合格；塔压差是否异常；备用尾气系统是否可用等</x:v>
      </x:c>
      <x:c r="E19" s="30" t="str">
        <x:v>吸收失效、堵塞液泛、有毒尾气外排</x:v>
      </x:c>
      <x:c r="F19" s="30" t="str">
        <x:v>正常/异常/不适用</x:v>
      </x:c>
      <x:c r="G19" s="30" t="str">
        <x:v>检查知识库</x:v>
      </x:c>
      <x:c r="H19" s="30" t="str">
        <x:v>现场巡检记录</x:v>
      </x:c>
    </x:row>
    <x:row r="20" ht="62" customHeight="1">
      <x:c r="A20" s="30" t="str">
        <x:v>固体处理设备</x:v>
      </x:c>
      <x:c r="B20" s="30" t="str">
        <x:v>粉碎机/筛分机</x:v>
      </x:c>
      <x:c r="C20" s="30" t="n">
        <x:v>5</x:v>
      </x:c>
      <x:c r="D20" s="30" t="str">
        <x:v>粉尘是否积聚；除尘系统是否正常；轴承温度和摩擦火花是否异常；防爆隔离和泄爆装置是否完好等</x:v>
      </x:c>
      <x:c r="E20" s="30" t="str">
        <x:v>粉尘爆炸、摩擦火花、除尘失效</x:v>
      </x:c>
      <x:c r="F20" s="30" t="str">
        <x:v>正常/异常/不适用</x:v>
      </x:c>
      <x:c r="G20" s="30" t="str">
        <x:v>检查知识库</x:v>
      </x:c>
      <x:c r="H20" s="30" t="str">
        <x:v>现场巡检记录</x:v>
      </x:c>
    </x:row>
    <x:row r="21" ht="62" customHeight="1">
      <x:c r="A21" s="30" t="str">
        <x:v>储存设备</x:v>
      </x:c>
      <x:c r="B21" s="30" t="str">
        <x:v>工业气瓶</x:v>
      </x:c>
      <x:c r="C21" s="30" t="n">
        <x:v>5</x:v>
      </x:c>
      <x:c r="D21" s="30" t="str">
        <x:v>气瓶颜色、标签和介质是否一致；检验日期和瓶体状态是否合格；是否直立固定并戴瓶帽；氧化性气体与可燃气体是否分开等</x:v>
      </x:c>
      <x:c r="E21" s="30" t="str">
        <x:v>误接、超期、倾倒、阀门/软管泄漏</x:v>
      </x:c>
      <x:c r="F21" s="30" t="str">
        <x:v>正常/异常/不适用</x:v>
      </x:c>
      <x:c r="G21" s="30" t="str">
        <x:v>检查知识库</x:v>
      </x:c>
      <x:c r="H21" s="30" t="str">
        <x:v>现场巡检记录</x:v>
      </x:c>
    </x:row>
    <x:row r="22" ht="62" customHeight="1">
      <x:c r="A22" s="30" t="str">
        <x:v>电气仪表</x:v>
      </x:c>
      <x:c r="B22" s="30" t="str">
        <x:v>防爆电气与仪表系统</x:v>
      </x:c>
      <x:c r="C22" s="30" t="n">
        <x:v>5</x:v>
      </x:c>
      <x:c r="D22" s="30" t="str">
        <x:v>防爆外壳和密封是否完整；报警和联锁是否旁路；仪表是否在校验有效期；UPS和应急电源是否可用等</x:v>
      </x:c>
      <x:c r="E22" s="30" t="str">
        <x:v>防爆失效、联锁旁路、仪表失准、停电失控</x:v>
      </x:c>
      <x:c r="F22" s="30" t="str">
        <x:v>正常/异常/不适用</x:v>
      </x:c>
      <x:c r="G22" s="30" t="str">
        <x:v>检查知识库</x:v>
      </x:c>
      <x:c r="H22" s="30" t="str">
        <x:v>现场巡检记录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74b1c04ff724ea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5" hidden="0" customWidth="1"/>
    <x:col min="3" max="3" width="24" hidden="0" customWidth="1"/>
    <x:col min="4" max="4" width="28" hidden="0" customWidth="1"/>
    <x:col min="5" max="5" width="38" hidden="0" customWidth="1"/>
    <x:col min="6" max="6" width="38" hidden="0" customWidth="1"/>
    <x:col min="7" max="7" width="32" hidden="0" customWidth="1"/>
    <x:col min="8" max="8" width="38" hidden="0" customWidth="1"/>
    <x:col min="9" max="9" width="16" hidden="0" customWidth="1"/>
    <x:col min="10" max="10" width="20" hidden="0" customWidth="1"/>
  </x:cols>
  <x:sheetData>
    <x:row r="1">
      <x:c r="A1" s="5" t="str">
        <x:v>化工设备安全检查知识库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3" t="str">
        <x:v>“正常判定”需结合具体设备设计参数、工艺卡、报警联锁值和法定检验要求，不得把本表中的通用描述直接当作设备设定值。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>
      <x:c r="A4" s="22" t="str">
        <x:v>编号</x:v>
      </x:c>
      <x:c r="B4" s="22" t="str">
        <x:v>设备类别</x:v>
      </x:c>
      <x:c r="C4" s="22" t="str">
        <x:v>设备名称</x:v>
      </x:c>
      <x:c r="D4" s="22" t="str">
        <x:v>检查项目</x:v>
      </x:c>
      <x:c r="E4" s="22" t="str">
        <x:v>检查方法</x:v>
      </x:c>
      <x:c r="F4" s="22" t="str">
        <x:v>正常判定标准</x:v>
      </x:c>
      <x:c r="G4" s="22" t="str">
        <x:v>异常后果/风险</x:v>
      </x:c>
      <x:c r="H4" s="22" t="str">
        <x:v>发现异常后的建议处置</x:v>
      </x:c>
      <x:c r="I4" s="22" t="str">
        <x:v>建议检查频次</x:v>
      </x:c>
      <x:c r="J4" s="22" t="str">
        <x:v>建议责任角色</x:v>
      </x:c>
    </x:row>
    <x:row r="5" ht="72" customHeight="1">
      <x:c r="A5" s="30" t="n">
        <x:v>1</x:v>
      </x:c>
      <x:c r="B5" s="30" t="str">
        <x:v>反应设备</x:v>
      </x:c>
      <x:c r="C5" s="30" t="str">
        <x:v>反应釜</x:v>
      </x:c>
      <x:c r="D5" s="30" t="str">
        <x:v>温度是否超过安全范围</x:v>
      </x:c>
      <x:c r="E5" s="30" t="str">
        <x:v>查看现场温度计、DCS趋势和高温报警记录；对比工艺卡上下限</x:v>
      </x:c>
      <x:c r="F5" s="30" t="str">
        <x:v>温度在批准的工艺范围内，测点与备用测点偏差合理，报警有效</x:v>
      </x:c>
      <x:c r="G5" s="30" t="str">
        <x:v>反应失控、物料分解、冲料、超压</x:v>
      </x:c>
      <x:c r="H5" s="30" t="str">
        <x:v>立即停止或减少进料与加热；按规程启动冷却/淬灭；通知中控和负责人</x:v>
      </x:c>
      <x:c r="I5" s="30" t="str">
        <x:v>每班/连续监控</x:v>
      </x:c>
      <x:c r="J5" s="30" t="str">
        <x:v>操作人员/设备人员</x:v>
      </x:c>
    </x:row>
    <x:row r="6" ht="72" customHeight="1">
      <x:c r="A6" s="30" t="n">
        <x:v>2</x:v>
      </x:c>
      <x:c r="B6" s="30" t="str">
        <x:v>反应设备</x:v>
      </x:c>
      <x:c r="C6" s="30" t="str">
        <x:v>反应釜</x:v>
      </x:c>
      <x:c r="D6" s="30" t="str">
        <x:v>压力是否异常</x:v>
      </x:c>
      <x:c r="E6" s="30" t="str">
        <x:v>查看压力表、DCS趋势、放空/背压情况；检查压力表铅封和检定标识</x:v>
      </x:c>
      <x:c r="F6" s="30" t="str">
        <x:v>压力稳定且低于设计/工艺上限，无异常快速上升</x:v>
      </x:c>
      <x:c r="G6" s="30" t="str">
        <x:v>超压、容器破裂、可燃有毒物料释放</x:v>
      </x:c>
      <x:c r="H6" s="30" t="str">
        <x:v>停止进料和加热；确认放空/泄压通道；按异常工况规程处置</x:v>
      </x:c>
      <x:c r="I6" s="30" t="str">
        <x:v>每班/连续监控</x:v>
      </x:c>
      <x:c r="J6" s="30" t="str">
        <x:v>操作人员/设备人员</x:v>
      </x:c>
    </x:row>
    <x:row r="7" ht="72" customHeight="1">
      <x:c r="A7" s="30" t="n">
        <x:v>3</x:v>
      </x:c>
      <x:c r="B7" s="30" t="str">
        <x:v>反应设备</x:v>
      </x:c>
      <x:c r="C7" s="30" t="str">
        <x:v>反应釜</x:v>
      </x:c>
      <x:c r="D7" s="30" t="str">
        <x:v>冷却系统是否正常</x:v>
      </x:c>
      <x:c r="E7" s="30" t="str">
        <x:v>检查冷却水入口/出口温度、流量、阀位、泵运行及夹套是否堵塞</x:v>
      </x:c>
      <x:c r="F7" s="30" t="str">
        <x:v>冷却介质流量和温差正常，备用冷却可用，无泄漏</x:v>
      </x:c>
      <x:c r="G7" s="30" t="str">
        <x:v>热量无法移除，引发飞温或聚合失控</x:v>
      </x:c>
      <x:c r="H7" s="30" t="str">
        <x:v>立即启用备用冷却；停止热源和加料；必要时转料或启动淬灭</x:v>
      </x:c>
      <x:c r="I7" s="30" t="str">
        <x:v>开车前+每班</x:v>
      </x:c>
      <x:c r="J7" s="30" t="str">
        <x:v>操作人员/设备人员</x:v>
      </x:c>
    </x:row>
    <x:row r="8" ht="72" customHeight="1">
      <x:c r="A8" s="30" t="n">
        <x:v>4</x:v>
      </x:c>
      <x:c r="B8" s="30" t="str">
        <x:v>反应设备</x:v>
      </x:c>
      <x:c r="C8" s="30" t="str">
        <x:v>反应釜</x:v>
      </x:c>
      <x:c r="D8" s="30" t="str">
        <x:v>搅拌装置是否运行</x:v>
      </x:c>
      <x:c r="E8" s="30" t="str">
        <x:v>观察电流、转速、振动、声音和机械密封；确认联锁</x:v>
      </x:c>
      <x:c r="F8" s="30" t="str">
        <x:v>转速、电流平稳，无异常振动、异响和泄漏</x:v>
      </x:c>
      <x:c r="G8" s="30" t="str">
        <x:v>局部过热、传热恶化、沉积结块、反应失控</x:v>
      </x:c>
      <x:c r="H8" s="30" t="str">
        <x:v>停止加料/加热；按工艺评估是否紧急冷却或转料；禁止盲目重启</x:v>
      </x:c>
      <x:c r="I8" s="30" t="str">
        <x:v>开车前+每班</x:v>
      </x:c>
      <x:c r="J8" s="30" t="str">
        <x:v>操作人员/设备人员</x:v>
      </x:c>
    </x:row>
    <x:row r="9" ht="72" customHeight="1">
      <x:c r="A9" s="30" t="n">
        <x:v>5</x:v>
      </x:c>
      <x:c r="B9" s="30" t="str">
        <x:v>反应设备</x:v>
      </x:c>
      <x:c r="C9" s="30" t="str">
        <x:v>反应釜</x:v>
      </x:c>
      <x:c r="D9" s="30" t="str">
        <x:v>安全阀/爆破片是否有效</x:v>
      </x:c>
      <x:c r="E9" s="30" t="str">
        <x:v>核对检验标签和有效期；检查铅封、隔离阀位置、排放管和背压</x:v>
      </x:c>
      <x:c r="F9" s="30" t="str">
        <x:v>在检验有效期内，铅封完好，前后阀正确开启，排放至安全系统</x:v>
      </x:c>
      <x:c r="G9" s="30" t="str">
        <x:v>超压无法泄放或泄放至人员区域</x:v>
      </x:c>
      <x:c r="H9" s="30" t="str">
        <x:v>立即停止违规运行；隔离设备并安排专业检验；禁止堵塞泄压口</x:v>
      </x:c>
      <x:c r="I9" s="30" t="str">
        <x:v>每班外观+按法规定检</x:v>
      </x:c>
      <x:c r="J9" s="30" t="str">
        <x:v>操作人员/设备人员</x:v>
      </x:c>
    </x:row>
    <x:row r="10" ht="72" customHeight="1">
      <x:c r="A10" s="30" t="n">
        <x:v>6</x:v>
      </x:c>
      <x:c r="B10" s="30" t="str">
        <x:v>反应设备</x:v>
      </x:c>
      <x:c r="C10" s="30" t="str">
        <x:v>反应釜</x:v>
      </x:c>
      <x:c r="D10" s="30" t="str">
        <x:v>是否存在物料泄漏</x:v>
      </x:c>
      <x:c r="E10" s="30" t="str">
        <x:v>检查人孔、法兰、取样口、机械密封、视镜和底阀；使用气体检测仪</x:v>
      </x:c>
      <x:c r="F10" s="30" t="str">
        <x:v>无滴漏、结晶、异味、报警和腐蚀痕迹</x:v>
      </x:c>
      <x:c r="G10" s="30" t="str">
        <x:v>中毒、火灾、爆炸、灼伤和环境污染</x:v>
      </x:c>
      <x:c r="H10" s="30" t="str">
        <x:v>停止相关操作；隔离泄漏源；划警戒区；按SDS和应急预案处置</x:v>
      </x:c>
      <x:c r="I10" s="30" t="str">
        <x:v>每班</x:v>
      </x:c>
      <x:c r="J10" s="30" t="str">
        <x:v>操作人员/设备人员</x:v>
      </x:c>
    </x:row>
    <x:row r="11" ht="72" customHeight="1">
      <x:c r="A11" s="30" t="n">
        <x:v>7</x:v>
      </x:c>
      <x:c r="B11" s="30" t="str">
        <x:v>反应设备</x:v>
      </x:c>
      <x:c r="C11" s="30" t="str">
        <x:v>反应釜</x:v>
      </x:c>
      <x:c r="D11" s="30" t="str">
        <x:v>仪表和联锁是否正常</x:v>
      </x:c>
      <x:c r="E11" s="30" t="str">
        <x:v>执行报警/联锁旁路清单检查，核对温压液位仪表状态</x:v>
      </x:c>
      <x:c r="F11" s="30" t="str">
        <x:v>关键报警和联锁投入，无未经批准的旁路，仪表在检定期</x:v>
      </x:c>
      <x:c r="G11" s="30" t="str">
        <x:v>保护层失效，异常未被发现或自动处置</x:v>
      </x:c>
      <x:c r="H11" s="30" t="str">
        <x:v>恢复联锁；无法恢复时按管理程序降负荷或停车</x:v>
      </x:c>
      <x:c r="I11" s="30" t="str">
        <x:v>开车前+每班</x:v>
      </x:c>
      <x:c r="J11" s="30" t="str">
        <x:v>操作人员/设备人员</x:v>
      </x:c>
    </x:row>
    <x:row r="12" ht="72" customHeight="1">
      <x:c r="A12" s="30" t="n">
        <x:v>8</x:v>
      </x:c>
      <x:c r="B12" s="30" t="str">
        <x:v>反应设备</x:v>
      </x:c>
      <x:c r="C12" s="30" t="str">
        <x:v>反应釜</x:v>
      </x:c>
      <x:c r="D12" s="30" t="str">
        <x:v>加料顺序和速率是否正确</x:v>
      </x:c>
      <x:c r="E12" s="30" t="str">
        <x:v>核对批记录、阀位、流量累计和物料标识</x:v>
      </x:c>
      <x:c r="F12" s="30" t="str">
        <x:v>物料、顺序、计量和加料速率符合批准配方</x:v>
      </x:c>
      <x:c r="G12" s="30" t="str">
        <x:v>误加料、剧烈副反应、超温超压</x:v>
      </x:c>
      <x:c r="H12" s="30" t="str">
        <x:v>立即停止加料；保持安全冷却；启动偏差处置和技术评估</x:v>
      </x:c>
      <x:c r="I12" s="30" t="str">
        <x:v>每批次</x:v>
      </x:c>
      <x:c r="J12" s="30" t="str">
        <x:v>操作人员/设备人员</x:v>
      </x:c>
    </x:row>
    <x:row r="13" ht="72" customHeight="1">
      <x:c r="A13" s="30" t="n">
        <x:v>9</x:v>
      </x:c>
      <x:c r="B13" s="30" t="str">
        <x:v>反应设备</x:v>
      </x:c>
      <x:c r="C13" s="30" t="str">
        <x:v>反应釜</x:v>
      </x:c>
      <x:c r="D13" s="30" t="str">
        <x:v>静电接地是否可靠</x:v>
      </x:c>
      <x:c r="E13" s="30" t="str">
        <x:v>检查接地夹、跨接线、接地状态指示</x:v>
      </x:c>
      <x:c r="F13" s="30" t="str">
        <x:v>连接牢固，无锈蚀断裂，接地检测合格</x:v>
      </x:c>
      <x:c r="G13" s="30" t="str">
        <x:v>静电点火引发火灾爆炸</x:v>
      </x:c>
      <x:c r="H13" s="30" t="str">
        <x:v>停止易燃物料转移，恢复接地后方可继续</x:v>
      </x:c>
      <x:c r="I13" s="30" t="str">
        <x:v>每班/转料前</x:v>
      </x:c>
      <x:c r="J13" s="30" t="str">
        <x:v>操作人员/设备人员</x:v>
      </x:c>
    </x:row>
    <x:row r="14" ht="72" customHeight="1">
      <x:c r="A14" s="30" t="n">
        <x:v>10</x:v>
      </x:c>
      <x:c r="B14" s="30" t="str">
        <x:v>反应设备</x:v>
      </x:c>
      <x:c r="C14" s="30" t="str">
        <x:v>反应釜</x:v>
      </x:c>
      <x:c r="D14" s="30" t="str">
        <x:v>操作人员是否佩戴防护用品</x:v>
      </x:c>
      <x:c r="E14" s="30" t="str">
        <x:v>现场核查护目镜、手套、防护服、呼吸防护适配性</x:v>
      </x:c>
      <x:c r="F14" s="30" t="str">
        <x:v>PPE与介质SDS和作业风险匹配，佩戴正确</x:v>
      </x:c>
      <x:c r="G14" s="30" t="str">
        <x:v>吸入中毒、眼面部和皮肤灼伤</x:v>
      </x:c>
      <x:c r="H14" s="30" t="str">
        <x:v>停止作业并补齐PPE；污染人员立即冲洗/就医</x:v>
      </x:c>
      <x:c r="I14" s="30" t="str">
        <x:v>作业前+巡检</x:v>
      </x:c>
      <x:c r="J14" s="30" t="str">
        <x:v>操作人员/设备人员</x:v>
      </x:c>
    </x:row>
    <x:row r="15" ht="72" customHeight="1">
      <x:c r="A15" s="30" t="n">
        <x:v>11</x:v>
      </x:c>
      <x:c r="B15" s="30" t="str">
        <x:v>储存设备</x:v>
      </x:c>
      <x:c r="C15" s="30" t="str">
        <x:v>化学品储罐</x:v>
      </x:c>
      <x:c r="D15" s="30" t="str">
        <x:v>液位是否正常</x:v>
      </x:c>
      <x:c r="E15" s="30" t="str">
        <x:v>查看液位计、雷达液位和高高液位报警；核对收发料量</x:v>
      </x:c>
      <x:c r="F15" s="30" t="str">
        <x:v>液位在安全上下限内，双测点一致，报警可用</x:v>
      </x:c>
      <x:c r="G15" s="30" t="str">
        <x:v>溢流、抽空、泵汽蚀或空气进入</x:v>
      </x:c>
      <x:c r="H15" s="30" t="str">
        <x:v>停止收料/出料；核查阀位和计量；处理报警</x:v>
      </x:c>
      <x:c r="I15" s="30" t="str">
        <x:v>每班/连续监控</x:v>
      </x:c>
      <x:c r="J15" s="30" t="str">
        <x:v>操作人员/设备人员</x:v>
      </x:c>
    </x:row>
    <x:row r="16" ht="72" customHeight="1">
      <x:c r="A16" s="30" t="n">
        <x:v>12</x:v>
      </x:c>
      <x:c r="B16" s="30" t="str">
        <x:v>储存设备</x:v>
      </x:c>
      <x:c r="C16" s="30" t="str">
        <x:v>化学品储罐</x:v>
      </x:c>
      <x:c r="D16" s="30" t="str">
        <x:v>罐体是否变形腐蚀</x:v>
      </x:c>
      <x:c r="E16" s="30" t="str">
        <x:v>观察罐壁、罐顶、焊缝、基础沉降和保温层下腐蚀迹象</x:v>
      </x:c>
      <x:c r="F16" s="30" t="str">
        <x:v>无鼓包、凹陷、裂纹、严重锈蚀或异常沉降</x:v>
      </x:c>
      <x:c r="G16" s="30" t="str">
        <x:v>结构失效和大规模泄漏</x:v>
      </x:c>
      <x:c r="H16" s="30" t="str">
        <x:v>降低液位并隔离；安排无损检测和工程评估</x:v>
      </x:c>
      <x:c r="I16" s="30" t="str">
        <x:v>每日外观+定期检测</x:v>
      </x:c>
      <x:c r="J16" s="30" t="str">
        <x:v>操作人员/设备人员</x:v>
      </x:c>
    </x:row>
    <x:row r="17" ht="72" customHeight="1">
      <x:c r="A17" s="30" t="n">
        <x:v>13</x:v>
      </x:c>
      <x:c r="B17" s="30" t="str">
        <x:v>储存设备</x:v>
      </x:c>
      <x:c r="C17" s="30" t="str">
        <x:v>化学品储罐</x:v>
      </x:c>
      <x:c r="D17" s="30" t="str">
        <x:v>呼吸阀/阻火器是否畅通</x:v>
      </x:c>
      <x:c r="E17" s="30" t="str">
        <x:v>检查堵塞、结晶、冻结和检验维护记录</x:v>
      </x:c>
      <x:c r="F17" s="30" t="str">
        <x:v>呼吸畅通，阻火器清洁，设定符合要求</x:v>
      </x:c>
      <x:c r="G17" s="30" t="str">
        <x:v>罐内超压/负压、吸瘪或点火回传</x:v>
      </x:c>
      <x:c r="H17" s="30" t="str">
        <x:v>停止收发料；清理或更换，经确认后恢复</x:v>
      </x:c>
      <x:c r="I17" s="30" t="str">
        <x:v>每周/恶劣天气后</x:v>
      </x:c>
      <x:c r="J17" s="30" t="str">
        <x:v>操作人员/设备人员</x:v>
      </x:c>
    </x:row>
    <x:row r="18" ht="72" customHeight="1">
      <x:c r="A18" s="30" t="n">
        <x:v>14</x:v>
      </x:c>
      <x:c r="B18" s="30" t="str">
        <x:v>储存设备</x:v>
      </x:c>
      <x:c r="C18" s="30" t="str">
        <x:v>化学品储罐</x:v>
      </x:c>
      <x:c r="D18" s="30" t="str">
        <x:v>围堰和排水是否有效</x:v>
      </x:c>
      <x:c r="E18" s="30" t="str">
        <x:v>检查围堰完整、阀门常闭、积水和容积</x:v>
      </x:c>
      <x:c r="F18" s="30" t="str">
        <x:v>围堰无破损，雨排阀受控，无杂物占容</x:v>
      </x:c>
      <x:c r="G18" s="30" t="str">
        <x:v>泄漏扩散至排水系统和环境</x:v>
      </x:c>
      <x:c r="H18" s="30" t="str">
        <x:v>关闭排水阀；清除积水杂物；修复围堰</x:v>
      </x:c>
      <x:c r="I18" s="30" t="str">
        <x:v>每日</x:v>
      </x:c>
      <x:c r="J18" s="30" t="str">
        <x:v>操作人员/设备人员</x:v>
      </x:c>
    </x:row>
    <x:row r="19" ht="72" customHeight="1">
      <x:c r="A19" s="30" t="n">
        <x:v>15</x:v>
      </x:c>
      <x:c r="B19" s="30" t="str">
        <x:v>储存设备</x:v>
      </x:c>
      <x:c r="C19" s="30" t="str">
        <x:v>化学品储罐</x:v>
      </x:c>
      <x:c r="D19" s="30" t="str">
        <x:v>罐区可燃/有毒气报警是否正常</x:v>
      </x:c>
      <x:c r="E19" s="30" t="str">
        <x:v>查看探测器状态、报警测试和标定记录</x:v>
      </x:c>
      <x:c r="F19" s="30" t="str">
        <x:v>无故障，安装位置合理，标定有效</x:v>
      </x:c>
      <x:c r="G19" s="30" t="str">
        <x:v>泄漏不能及时发现</x:v>
      </x:c>
      <x:c r="H19" s="30" t="str">
        <x:v>限制作业；修复报警器并加强人工检测</x:v>
      </x:c>
      <x:c r="I19" s="30" t="str">
        <x:v>每班状态+定期标定</x:v>
      </x:c>
      <x:c r="J19" s="30" t="str">
        <x:v>操作人员/设备人员</x:v>
      </x:c>
    </x:row>
    <x:row r="20" ht="72" customHeight="1">
      <x:c r="A20" s="30" t="n">
        <x:v>16</x:v>
      </x:c>
      <x:c r="B20" s="30" t="str">
        <x:v>储存设备</x:v>
      </x:c>
      <x:c r="C20" s="30" t="str">
        <x:v>化学品储罐</x:v>
      </x:c>
      <x:c r="D20" s="30" t="str">
        <x:v>接地、防雷和跨接是否完好</x:v>
      </x:c>
      <x:c r="E20" s="30" t="str">
        <x:v>外观检查并核对检测报告</x:v>
      </x:c>
      <x:c r="F20" s="30" t="str">
        <x:v>连接牢固，检测在有效期</x:v>
      </x:c>
      <x:c r="G20" s="30" t="str">
        <x:v>雷击或静电点火</x:v>
      </x:c>
      <x:c r="H20" s="30" t="str">
        <x:v>停止易燃物料作业，修复后恢复</x:v>
      </x:c>
      <x:c r="I20" s="30" t="str">
        <x:v>每班外观+定期检测</x:v>
      </x:c>
      <x:c r="J20" s="30" t="str">
        <x:v>操作人员/设备人员</x:v>
      </x:c>
    </x:row>
    <x:row r="21" ht="72" customHeight="1">
      <x:c r="A21" s="30" t="n">
        <x:v>17</x:v>
      </x:c>
      <x:c r="B21" s="30" t="str">
        <x:v>储存设备</x:v>
      </x:c>
      <x:c r="C21" s="30" t="str">
        <x:v>化学品储罐</x:v>
      </x:c>
      <x:c r="D21" s="30" t="str">
        <x:v>阀门法兰和罐底是否泄漏</x:v>
      </x:c>
      <x:c r="E21" s="30" t="str">
        <x:v>目视、气味、吸油棉/试纸及检测仪检查</x:v>
      </x:c>
      <x:c r="F21" s="30" t="str">
        <x:v>无湿痕、滴漏、结晶和报警</x:v>
      </x:c>
      <x:c r="G21" s="30" t="str">
        <x:v>火灾、中毒、环境污染</x:v>
      </x:c>
      <x:c r="H21" s="30" t="str">
        <x:v>隔离泄漏点；转移物料；按预案处置</x:v>
      </x:c>
      <x:c r="I21" s="30" t="str">
        <x:v>每班</x:v>
      </x:c>
      <x:c r="J21" s="30" t="str">
        <x:v>操作人员/设备人员</x:v>
      </x:c>
    </x:row>
    <x:row r="22" ht="72" customHeight="1">
      <x:c r="A22" s="30" t="n">
        <x:v>18</x:v>
      </x:c>
      <x:c r="B22" s="30" t="str">
        <x:v>储存设备</x:v>
      </x:c>
      <x:c r="C22" s="30" t="str">
        <x:v>化学品储罐</x:v>
      </x:c>
      <x:c r="D22" s="30" t="str">
        <x:v>储罐温度/压力是否异常</x:v>
      </x:c>
      <x:c r="E22" s="30" t="str">
        <x:v>核对温压趋势、伴热/冷却状态</x:v>
      </x:c>
      <x:c r="F22" s="30" t="str">
        <x:v>在设计和物料储存范围内，无快速变化</x:v>
      </x:c>
      <x:c r="G22" s="30" t="str">
        <x:v>分解、聚合、挥发增强、罐体失效</x:v>
      </x:c>
      <x:c r="H22" s="30" t="str">
        <x:v>停止热源/收料；启用冷却；通知技术人员</x:v>
      </x:c>
      <x:c r="I22" s="30" t="str">
        <x:v>每班/连续监控</x:v>
      </x:c>
      <x:c r="J22" s="30" t="str">
        <x:v>操作人员/设备人员</x:v>
      </x:c>
    </x:row>
    <x:row r="23" ht="72" customHeight="1">
      <x:c r="A23" s="30" t="n">
        <x:v>19</x:v>
      </x:c>
      <x:c r="B23" s="30" t="str">
        <x:v>分离设备</x:v>
      </x:c>
      <x:c r="C23" s="30" t="str">
        <x:v>蒸馏塔/精馏塔</x:v>
      </x:c>
      <x:c r="D23" s="30" t="str">
        <x:v>塔顶塔釜温度是否异常</x:v>
      </x:c>
      <x:c r="E23" s="30" t="str">
        <x:v>查看DCS温度剖面和趋势</x:v>
      </x:c>
      <x:c r="F23" s="30" t="str">
        <x:v>温度分布稳定并符合物料体系</x:v>
      </x:c>
      <x:c r="G23" s="30" t="str">
        <x:v>干蒸、夹带、聚合、分解</x:v>
      </x:c>
      <x:c r="H23" s="30" t="str">
        <x:v>减少/停止加热和进料；检查回流及出料</x:v>
      </x:c>
      <x:c r="I23" s="30" t="str">
        <x:v>连续监控</x:v>
      </x:c>
      <x:c r="J23" s="30" t="str">
        <x:v>操作人员/设备人员</x:v>
      </x:c>
    </x:row>
    <x:row r="24" ht="72" customHeight="1">
      <x:c r="A24" s="30" t="n">
        <x:v>20</x:v>
      </x:c>
      <x:c r="B24" s="30" t="str">
        <x:v>分离设备</x:v>
      </x:c>
      <x:c r="C24" s="30" t="str">
        <x:v>蒸馏塔/精馏塔</x:v>
      </x:c>
      <x:c r="D24" s="30" t="str">
        <x:v>塔压和压差是否异常</x:v>
      </x:c>
      <x:c r="E24" s="30" t="str">
        <x:v>检查塔顶压力、塔段压差和放空</x:v>
      </x:c>
      <x:c r="F24" s="30" t="str">
        <x:v>压力与压差稳定，无快速升高</x:v>
      </x:c>
      <x:c r="G24" s="30" t="str">
        <x:v>液泛、堵塞、超压</x:v>
      </x:c>
      <x:c r="H24" s="30" t="str">
        <x:v>降低热负荷和进料；检查冷凝和放空</x:v>
      </x:c>
      <x:c r="I24" s="30" t="str">
        <x:v>连续监控</x:v>
      </x:c>
      <x:c r="J24" s="30" t="str">
        <x:v>操作人员/设备人员</x:v>
      </x:c>
    </x:row>
    <x:row r="25" ht="72" customHeight="1">
      <x:c r="A25" s="30" t="n">
        <x:v>21</x:v>
      </x:c>
      <x:c r="B25" s="30" t="str">
        <x:v>分离设备</x:v>
      </x:c>
      <x:c r="C25" s="30" t="str">
        <x:v>蒸馏塔/精馏塔</x:v>
      </x:c>
      <x:c r="D25" s="30" t="str">
        <x:v>冷凝器和回流是否正常</x:v>
      </x:c>
      <x:c r="E25" s="30" t="str">
        <x:v>检查冷却介质、冷凝液温度、回流泵和回流量</x:v>
      </x:c>
      <x:c r="F25" s="30" t="str">
        <x:v>冷凝充分，回流连续稳定</x:v>
      </x:c>
      <x:c r="G25" s="30" t="str">
        <x:v>塔压升高、可燃蒸气排放</x:v>
      </x:c>
      <x:c r="H25" s="30" t="str">
        <x:v>启动备用冷却/回流；降低或停止加热</x:v>
      </x:c>
      <x:c r="I25" s="30" t="str">
        <x:v>每班/连续</x:v>
      </x:c>
      <x:c r="J25" s="30" t="str">
        <x:v>操作人员/设备人员</x:v>
      </x:c>
    </x:row>
    <x:row r="26" ht="72" customHeight="1">
      <x:c r="A26" s="30" t="n">
        <x:v>22</x:v>
      </x:c>
      <x:c r="B26" s="30" t="str">
        <x:v>分离设备</x:v>
      </x:c>
      <x:c r="C26" s="30" t="str">
        <x:v>蒸馏塔/精馏塔</x:v>
      </x:c>
      <x:c r="D26" s="30" t="str">
        <x:v>再沸器加热是否受控</x:v>
      </x:c>
      <x:c r="E26" s="30" t="str">
        <x:v>检查蒸汽压力、阀位、液位和低液位联锁</x:v>
      </x:c>
      <x:c r="F26" s="30" t="str">
        <x:v>再沸器有足够液位，加热稳定</x:v>
      </x:c>
      <x:c r="G26" s="30" t="str">
        <x:v>干烧、管束损坏、热分解</x:v>
      </x:c>
      <x:c r="H26" s="30" t="str">
        <x:v>立即关闭加热；恢复液位并评估设备</x:v>
      </x:c>
      <x:c r="I26" s="30" t="str">
        <x:v>每班/连续</x:v>
      </x:c>
      <x:c r="J26" s="30" t="str">
        <x:v>操作人员/设备人员</x:v>
      </x:c>
    </x:row>
    <x:row r="27" ht="72" customHeight="1">
      <x:c r="A27" s="30" t="n">
        <x:v>23</x:v>
      </x:c>
      <x:c r="B27" s="30" t="str">
        <x:v>分离设备</x:v>
      </x:c>
      <x:c r="C27" s="30" t="str">
        <x:v>蒸馏塔/精馏塔</x:v>
      </x:c>
      <x:c r="D27" s="30" t="str">
        <x:v>是否存在不出料仍继续加热</x:v>
      </x:c>
      <x:c r="E27" s="30" t="str">
        <x:v>核对塔釜液位、出料流量和操作记录</x:v>
      </x:c>
      <x:c r="F27" s="30" t="str">
        <x:v>出料畅通，不发生长时间停滞</x:v>
      </x:c>
      <x:c r="G27" s="30" t="str">
        <x:v>干蒸、浓缩爆炸性残留物</x:v>
      </x:c>
      <x:c r="H27" s="30" t="str">
        <x:v>立即停止加热并查明堵塞原因</x:v>
      </x:c>
      <x:c r="I27" s="30" t="str">
        <x:v>每班</x:v>
      </x:c>
      <x:c r="J27" s="30" t="str">
        <x:v>操作人员/设备人员</x:v>
      </x:c>
    </x:row>
    <x:row r="28" ht="72" customHeight="1">
      <x:c r="A28" s="30" t="n">
        <x:v>24</x:v>
      </x:c>
      <x:c r="B28" s="30" t="str">
        <x:v>分离设备</x:v>
      </x:c>
      <x:c r="C28" s="30" t="str">
        <x:v>蒸馏塔/精馏塔</x:v>
      </x:c>
      <x:c r="D28" s="30" t="str">
        <x:v>安全泄放和氮封是否正常</x:v>
      </x:c>
      <x:c r="E28" s="30" t="str">
        <x:v>检查安全阀、放空去向、氮封压力</x:v>
      </x:c>
      <x:c r="F28" s="30" t="str">
        <x:v>泄放通道畅通，氮封稳定</x:v>
      </x:c>
      <x:c r="G28" s="30" t="str">
        <x:v>空气进入、超压、可燃混合物形成</x:v>
      </x:c>
      <x:c r="H28" s="30" t="str">
        <x:v>停止相关操作并恢复保护系统</x:v>
      </x:c>
      <x:c r="I28" s="30" t="str">
        <x:v>每班</x:v>
      </x:c>
      <x:c r="J28" s="30" t="str">
        <x:v>操作人员/设备人员</x:v>
      </x:c>
    </x:row>
    <x:row r="29" ht="72" customHeight="1">
      <x:c r="A29" s="30" t="n">
        <x:v>25</x:v>
      </x:c>
      <x:c r="B29" s="30" t="str">
        <x:v>分离设备</x:v>
      </x:c>
      <x:c r="C29" s="30" t="str">
        <x:v>蒸馏塔/精馏塔</x:v>
      </x:c>
      <x:c r="D29" s="30" t="str">
        <x:v>塔体法兰、视镜和取样点是否泄漏</x:v>
      </x:c>
      <x:c r="E29" s="30" t="str">
        <x:v>目视和气体检测</x:v>
      </x:c>
      <x:c r="F29" s="30" t="str">
        <x:v>无泄漏、腐蚀和异常振动</x:v>
      </x:c>
      <x:c r="G29" s="30" t="str">
        <x:v>中毒、火灾、烫伤</x:v>
      </x:c>
      <x:c r="H29" s="30" t="str">
        <x:v>隔离、降压并按预案处置</x:v>
      </x:c>
      <x:c r="I29" s="30" t="str">
        <x:v>每班</x:v>
      </x:c>
      <x:c r="J29" s="30" t="str">
        <x:v>操作人员/设备人员</x:v>
      </x:c>
    </x:row>
    <x:row r="30" ht="72" customHeight="1">
      <x:c r="A30" s="30" t="n">
        <x:v>26</x:v>
      </x:c>
      <x:c r="B30" s="30" t="str">
        <x:v>传热设备</x:v>
      </x:c>
      <x:c r="C30" s="30" t="str">
        <x:v>换热器/冷凝器</x:v>
      </x:c>
      <x:c r="D30" s="30" t="str">
        <x:v>进出口温度和温差是否正常</x:v>
      </x:c>
      <x:c r="E30" s="30" t="str">
        <x:v>读取两侧进出口温度并比较历史趋势</x:v>
      </x:c>
      <x:c r="F30" s="30" t="str">
        <x:v>温差、出口温度符合设计和工艺目标</x:v>
      </x:c>
      <x:c r="G30" s="30" t="str">
        <x:v>传热下降、反应冷却不足、介质过热</x:v>
      </x:c>
      <x:c r="H30" s="30" t="str">
        <x:v>调整流量；排查结垢堵塞；必要时切换备用</x:v>
      </x:c>
      <x:c r="I30" s="30" t="str">
        <x:v>每班</x:v>
      </x:c>
      <x:c r="J30" s="30" t="str">
        <x:v>操作人员/设备人员</x:v>
      </x:c>
    </x:row>
    <x:row r="31" ht="72" customHeight="1">
      <x:c r="A31" s="30" t="n">
        <x:v>27</x:v>
      </x:c>
      <x:c r="B31" s="30" t="str">
        <x:v>传热设备</x:v>
      </x:c>
      <x:c r="C31" s="30" t="str">
        <x:v>换热器/冷凝器</x:v>
      </x:c>
      <x:c r="D31" s="30" t="str">
        <x:v>两侧压力和压差是否异常</x:v>
      </x:c>
      <x:c r="E31" s="30" t="str">
        <x:v>检查压力表和压差趋势</x:v>
      </x:c>
      <x:c r="F31" s="30" t="str">
        <x:v>压力稳定，压差无突变</x:v>
      </x:c>
      <x:c r="G31" s="30" t="str">
        <x:v>管束破裂、堵塞或超压</x:v>
      </x:c>
      <x:c r="H31" s="30" t="str">
        <x:v>隔离设备，进行泄漏和完整性检查</x:v>
      </x:c>
      <x:c r="I31" s="30" t="str">
        <x:v>每班</x:v>
      </x:c>
      <x:c r="J31" s="30" t="str">
        <x:v>操作人员/设备人员</x:v>
      </x:c>
    </x:row>
    <x:row r="32" ht="72" customHeight="1">
      <x:c r="A32" s="30" t="n">
        <x:v>28</x:v>
      </x:c>
      <x:c r="B32" s="30" t="str">
        <x:v>传热设备</x:v>
      </x:c>
      <x:c r="C32" s="30" t="str">
        <x:v>换热器/冷凝器</x:v>
      </x:c>
      <x:c r="D32" s="30" t="str">
        <x:v>是否发生介质串漏</x:v>
      </x:c>
      <x:c r="E32" s="30" t="str">
        <x:v>分析出口组分、颜色、pH、电导或可燃气报警</x:v>
      </x:c>
      <x:c r="F32" s="30" t="str">
        <x:v>两侧介质无交叉污染</x:v>
      </x:c>
      <x:c r="G32" s="30" t="str">
        <x:v>危险反应、污染、超压</x:v>
      </x:c>
      <x:c r="H32" s="30" t="str">
        <x:v>立即隔离两侧，泄压排净并检修</x:v>
      </x:c>
      <x:c r="I32" s="30" t="str">
        <x:v>每班/在线分析</x:v>
      </x:c>
      <x:c r="J32" s="30" t="str">
        <x:v>操作人员/设备人员</x:v>
      </x:c>
    </x:row>
    <x:row r="33" ht="72" customHeight="1">
      <x:c r="A33" s="30" t="n">
        <x:v>29</x:v>
      </x:c>
      <x:c r="B33" s="30" t="str">
        <x:v>传热设备</x:v>
      </x:c>
      <x:c r="C33" s="30" t="str">
        <x:v>换热器/冷凝器</x:v>
      </x:c>
      <x:c r="D33" s="30" t="str">
        <x:v>冷却水流量是否正常</x:v>
      </x:c>
      <x:c r="E33" s="30" t="str">
        <x:v>查看流量、阀位、水压和过滤器</x:v>
      </x:c>
      <x:c r="F33" s="30" t="str">
        <x:v>流量达到最低要求，无气阻堵塞</x:v>
      </x:c>
      <x:c r="G33" s="30" t="str">
        <x:v>冷凝不足或失控反应</x:v>
      </x:c>
      <x:c r="H33" s="30" t="str">
        <x:v>启动备用水源/泵，降低热负荷</x:v>
      </x:c>
      <x:c r="I33" s="30" t="str">
        <x:v>每班</x:v>
      </x:c>
      <x:c r="J33" s="30" t="str">
        <x:v>操作人员/设备人员</x:v>
      </x:c>
    </x:row>
    <x:row r="34" ht="72" customHeight="1">
      <x:c r="A34" s="30" t="n">
        <x:v>30</x:v>
      </x:c>
      <x:c r="B34" s="30" t="str">
        <x:v>传热设备</x:v>
      </x:c>
      <x:c r="C34" s="30" t="str">
        <x:v>换热器/冷凝器</x:v>
      </x:c>
      <x:c r="D34" s="30" t="str">
        <x:v>壳体管箱法兰是否泄漏</x:v>
      </x:c>
      <x:c r="E34" s="30" t="str">
        <x:v>检查法兰、排污口、膨胀节</x:v>
      </x:c>
      <x:c r="F34" s="30" t="str">
        <x:v>无湿痕、腐蚀和滴漏</x:v>
      </x:c>
      <x:c r="G34" s="30" t="str">
        <x:v>灼伤、中毒、火灾</x:v>
      </x:c>
      <x:c r="H34" s="30" t="str">
        <x:v>隔离、降温降压后检修</x:v>
      </x:c>
      <x:c r="I34" s="30" t="str">
        <x:v>每班</x:v>
      </x:c>
      <x:c r="J34" s="30" t="str">
        <x:v>操作人员/设备人员</x:v>
      </x:c>
    </x:row>
    <x:row r="35" ht="72" customHeight="1">
      <x:c r="A35" s="30" t="n">
        <x:v>31</x:v>
      </x:c>
      <x:c r="B35" s="30" t="str">
        <x:v>传热设备</x:v>
      </x:c>
      <x:c r="C35" s="30" t="str">
        <x:v>换热器/冷凝器</x:v>
      </x:c>
      <x:c r="D35" s="30" t="str">
        <x:v>保温层和支座是否完好</x:v>
      </x:c>
      <x:c r="E35" s="30" t="str">
        <x:v>观察保温破损、冷凝水、支座位移</x:v>
      </x:c>
      <x:c r="F35" s="30" t="str">
        <x:v>保温完整，支座滑动正常</x:v>
      </x:c>
      <x:c r="G35" s="30" t="str">
        <x:v>保温下腐蚀、热损失、应力损坏</x:v>
      </x:c>
      <x:c r="H35" s="30" t="str">
        <x:v>修复保温并检查壁厚/支座</x:v>
      </x:c>
      <x:c r="I35" s="30" t="str">
        <x:v>每月</x:v>
      </x:c>
      <x:c r="J35" s="30" t="str">
        <x:v>操作人员/设备人员</x:v>
      </x:c>
    </x:row>
    <x:row r="36" ht="72" customHeight="1">
      <x:c r="A36" s="30" t="n">
        <x:v>32</x:v>
      </x:c>
      <x:c r="B36" s="30" t="str">
        <x:v>输送设备</x:v>
      </x:c>
      <x:c r="C36" s="30" t="str">
        <x:v>离心泵/计量泵</x:v>
      </x:c>
      <x:c r="D36" s="30" t="str">
        <x:v>出口压力和流量是否正常</x:v>
      </x:c>
      <x:c r="E36" s="30" t="str">
        <x:v>查看压力、流量和控制阀位</x:v>
      </x:c>
      <x:c r="F36" s="30" t="str">
        <x:v>在运行曲线和工艺范围内</x:v>
      </x:c>
      <x:c r="G36" s="30" t="str">
        <x:v>堵塞、空转、过载或错误输送</x:v>
      </x:c>
      <x:c r="H36" s="30" t="str">
        <x:v>调整阀位；检查吸入条件和管路</x:v>
      </x:c>
      <x:c r="I36" s="30" t="str">
        <x:v>每班</x:v>
      </x:c>
      <x:c r="J36" s="30" t="str">
        <x:v>操作人员/设备人员</x:v>
      </x:c>
    </x:row>
    <x:row r="37" ht="72" customHeight="1">
      <x:c r="A37" s="30" t="n">
        <x:v>33</x:v>
      </x:c>
      <x:c r="B37" s="30" t="str">
        <x:v>输送设备</x:v>
      </x:c>
      <x:c r="C37" s="30" t="str">
        <x:v>离心泵/计量泵</x:v>
      </x:c>
      <x:c r="D37" s="30" t="str">
        <x:v>机械密封是否泄漏</x:v>
      </x:c>
      <x:c r="E37" s="30" t="str">
        <x:v>检查密封腔、冲洗液和泄漏收集</x:v>
      </x:c>
      <x:c r="F37" s="30" t="str">
        <x:v>无持续滴漏、喷射或异味</x:v>
      </x:c>
      <x:c r="G37" s="30" t="str">
        <x:v>可燃有毒物料释放</x:v>
      </x:c>
      <x:c r="H37" s="30" t="str">
        <x:v>切换备用泵，隔离并检修</x:v>
      </x:c>
      <x:c r="I37" s="30" t="str">
        <x:v>每班</x:v>
      </x:c>
      <x:c r="J37" s="30" t="str">
        <x:v>操作人员/设备人员</x:v>
      </x:c>
    </x:row>
    <x:row r="38" ht="72" customHeight="1">
      <x:c r="A38" s="30" t="n">
        <x:v>34</x:v>
      </x:c>
      <x:c r="B38" s="30" t="str">
        <x:v>输送设备</x:v>
      </x:c>
      <x:c r="C38" s="30" t="str">
        <x:v>离心泵/计量泵</x:v>
      </x:c>
      <x:c r="D38" s="30" t="str">
        <x:v>振动、温度和噪声是否异常</x:v>
      </x:c>
      <x:c r="E38" s="30" t="str">
        <x:v>触检/测振并看轴承温度</x:v>
      </x:c>
      <x:c r="F38" s="30" t="str">
        <x:v>无异常振动、异响和温升</x:v>
      </x:c>
      <x:c r="G38" s="30" t="str">
        <x:v>轴承损坏、叶轮摩擦、机械失效</x:v>
      </x:c>
      <x:c r="H38" s="30" t="str">
        <x:v>停泵检查；禁止带病运行</x:v>
      </x:c>
      <x:c r="I38" s="30" t="str">
        <x:v>每班</x:v>
      </x:c>
      <x:c r="J38" s="30" t="str">
        <x:v>操作人员/设备人员</x:v>
      </x:c>
    </x:row>
    <x:row r="39" ht="72" customHeight="1">
      <x:c r="A39" s="30" t="n">
        <x:v>35</x:v>
      </x:c>
      <x:c r="B39" s="30" t="str">
        <x:v>输送设备</x:v>
      </x:c>
      <x:c r="C39" s="30" t="str">
        <x:v>离心泵/计量泵</x:v>
      </x:c>
      <x:c r="D39" s="30" t="str">
        <x:v>是否汽蚀或空转</x:v>
      </x:c>
      <x:c r="E39" s="30" t="str">
        <x:v>听异常噪声，查看入口压力、液位和电流</x:v>
      </x:c>
      <x:c r="F39" s="30" t="str">
        <x:v>入口条件充足，声音平稳</x:v>
      </x:c>
      <x:c r="G39" s="30" t="str">
        <x:v>泵损坏、流量中断、温升</x:v>
      </x:c>
      <x:c r="H39" s="30" t="str">
        <x:v>停泵排气，恢复液位/入口压力</x:v>
      </x:c>
      <x:c r="I39" s="30" t="str">
        <x:v>每班</x:v>
      </x:c>
      <x:c r="J39" s="30" t="str">
        <x:v>操作人员/设备人员</x:v>
      </x:c>
    </x:row>
    <x:row r="40" ht="72" customHeight="1">
      <x:c r="A40" s="30" t="n">
        <x:v>36</x:v>
      </x:c>
      <x:c r="B40" s="30" t="str">
        <x:v>输送设备</x:v>
      </x:c>
      <x:c r="C40" s="30" t="str">
        <x:v>离心泵/计量泵</x:v>
      </x:c>
      <x:c r="D40" s="30" t="str">
        <x:v>联轴器护罩是否完整</x:v>
      </x:c>
      <x:c r="E40" s="30" t="str">
        <x:v>目视检查护罩和紧固件</x:v>
      </x:c>
      <x:c r="F40" s="30" t="str">
        <x:v>护罩完整牢固</x:v>
      </x:c>
      <x:c r="G40" s="30" t="str">
        <x:v>卷入、机械伤害</x:v>
      </x:c>
      <x:c r="H40" s="30" t="str">
        <x:v>停止设备并安装护罩</x:v>
      </x:c>
      <x:c r="I40" s="30" t="str">
        <x:v>每日</x:v>
      </x:c>
      <x:c r="J40" s="30" t="str">
        <x:v>操作人员/设备人员</x:v>
      </x:c>
    </x:row>
    <x:row r="41" ht="72" customHeight="1">
      <x:c r="A41" s="30" t="n">
        <x:v>37</x:v>
      </x:c>
      <x:c r="B41" s="30" t="str">
        <x:v>输送设备</x:v>
      </x:c>
      <x:c r="C41" s="30" t="str">
        <x:v>离心泵/计量泵</x:v>
      </x:c>
      <x:c r="D41" s="30" t="str">
        <x:v>电机和接地是否正常</x:v>
      </x:c>
      <x:c r="E41" s="30" t="str">
        <x:v>检查电流、温升、接地和防爆外壳</x:v>
      </x:c>
      <x:c r="F41" s="30" t="str">
        <x:v>电流稳定，接线盒封闭，接地可靠</x:v>
      </x:c>
      <x:c r="G41" s="30" t="str">
        <x:v>过热、触电、电气点火</x:v>
      </x:c>
      <x:c r="H41" s="30" t="str">
        <x:v>停机并由电气人员处理</x:v>
      </x:c>
      <x:c r="I41" s="30" t="str">
        <x:v>每班</x:v>
      </x:c>
      <x:c r="J41" s="30" t="str">
        <x:v>操作人员/设备人员</x:v>
      </x:c>
    </x:row>
    <x:row r="42" ht="72" customHeight="1">
      <x:c r="A42" s="30" t="n">
        <x:v>38</x:v>
      </x:c>
      <x:c r="B42" s="30" t="str">
        <x:v>输送设备</x:v>
      </x:c>
      <x:c r="C42" s="30" t="str">
        <x:v>气体压缩机</x:v>
      </x:c>
      <x:c r="D42" s="30" t="str">
        <x:v>吸排气压力温度是否正常</x:v>
      </x:c>
      <x:c r="E42" s="30" t="str">
        <x:v>查看各级压力温度和趋势</x:v>
      </x:c>
      <x:c r="F42" s="30" t="str">
        <x:v>各级参数在报警/联锁范围内</x:v>
      </x:c>
      <x:c r="G42" s="30" t="str">
        <x:v>超温超压、爆炸或机械损坏</x:v>
      </x:c>
      <x:c r="H42" s="30" t="str">
        <x:v>降负荷或紧急停机，检查冷却和阀门</x:v>
      </x:c>
      <x:c r="I42" s="30" t="str">
        <x:v>连续监控</x:v>
      </x:c>
      <x:c r="J42" s="30" t="str">
        <x:v>操作人员/设备人员</x:v>
      </x:c>
    </x:row>
    <x:row r="43" ht="72" customHeight="1">
      <x:c r="A43" s="30" t="n">
        <x:v>39</x:v>
      </x:c>
      <x:c r="B43" s="30" t="str">
        <x:v>输送设备</x:v>
      </x:c>
      <x:c r="C43" s="30" t="str">
        <x:v>气体压缩机</x:v>
      </x:c>
      <x:c r="D43" s="30" t="str">
        <x:v>润滑油压力液位温度是否正常</x:v>
      </x:c>
      <x:c r="E43" s="30" t="str">
        <x:v>查看油系统仪表和油质</x:v>
      </x:c>
      <x:c r="F43" s="30" t="str">
        <x:v>油压、油位和温度正常，无乳化变色</x:v>
      </x:c>
      <x:c r="G43" s="30" t="str">
        <x:v>轴承烧毁和高温点火</x:v>
      </x:c>
      <x:c r="H43" s="30" t="str">
        <x:v>停机或启动备用油泵，查明原因</x:v>
      </x:c>
      <x:c r="I43" s="30" t="str">
        <x:v>每班/连续</x:v>
      </x:c>
      <x:c r="J43" s="30" t="str">
        <x:v>操作人员/设备人员</x:v>
      </x:c>
    </x:row>
    <x:row r="44" ht="72" customHeight="1">
      <x:c r="A44" s="30" t="n">
        <x:v>40</x:v>
      </x:c>
      <x:c r="B44" s="30" t="str">
        <x:v>输送设备</x:v>
      </x:c>
      <x:c r="C44" s="30" t="str">
        <x:v>气体压缩机</x:v>
      </x:c>
      <x:c r="D44" s="30" t="str">
        <x:v>冷却系统是否正常</x:v>
      </x:c>
      <x:c r="E44" s="30" t="str">
        <x:v>检查冷却水/油冷却器流量温差</x:v>
      </x:c>
      <x:c r="F44" s="30" t="str">
        <x:v>流量和温差正常</x:v>
      </x:c>
      <x:c r="G44" s="30" t="str">
        <x:v>排气过热和润滑失效</x:v>
      </x:c>
      <x:c r="H44" s="30" t="str">
        <x:v>降负荷，启用备用冷却</x:v>
      </x:c>
      <x:c r="I44" s="30" t="str">
        <x:v>每班</x:v>
      </x:c>
      <x:c r="J44" s="30" t="str">
        <x:v>操作人员/设备人员</x:v>
      </x:c>
    </x:row>
    <x:row r="45" ht="72" customHeight="1">
      <x:c r="A45" s="30" t="n">
        <x:v>41</x:v>
      </x:c>
      <x:c r="B45" s="30" t="str">
        <x:v>输送设备</x:v>
      </x:c>
      <x:c r="C45" s="30" t="str">
        <x:v>气体压缩机</x:v>
      </x:c>
      <x:c r="D45" s="30" t="str">
        <x:v>安全阀和防喘振系统是否有效</x:v>
      </x:c>
      <x:c r="E45" s="30" t="str">
        <x:v>检查检验状态、回流阀和联锁</x:v>
      </x:c>
      <x:c r="F45" s="30" t="str">
        <x:v>安全阀有效，防喘振自动投入</x:v>
      </x:c>
      <x:c r="G45" s="30" t="str">
        <x:v>超压、喘振、管线破坏</x:v>
      </x:c>
      <x:c r="H45" s="30" t="str">
        <x:v>立即降负荷/停机并恢复保护系统</x:v>
      </x:c>
      <x:c r="I45" s="30" t="str">
        <x:v>每班+定检</x:v>
      </x:c>
      <x:c r="J45" s="30" t="str">
        <x:v>操作人员/设备人员</x:v>
      </x:c>
    </x:row>
    <x:row r="46" ht="72" customHeight="1">
      <x:c r="A46" s="30" t="n">
        <x:v>42</x:v>
      </x:c>
      <x:c r="B46" s="30" t="str">
        <x:v>输送设备</x:v>
      </x:c>
      <x:c r="C46" s="30" t="str">
        <x:v>气体压缩机</x:v>
      </x:c>
      <x:c r="D46" s="30" t="str">
        <x:v>振动和轴承温度是否异常</x:v>
      </x:c>
      <x:c r="E46" s="30" t="str">
        <x:v>查看在线振动与轴承温度</x:v>
      </x:c>
      <x:c r="F46" s="30" t="str">
        <x:v>低于报警值且趋势稳定</x:v>
      </x:c>
      <x:c r="G46" s="30" t="str">
        <x:v>转子失稳、碰摩、轴承故障</x:v>
      </x:c>
      <x:c r="H46" s="30" t="str">
        <x:v>按联锁停机并检查</x:v>
      </x:c>
      <x:c r="I46" s="30" t="str">
        <x:v>连续监控</x:v>
      </x:c>
      <x:c r="J46" s="30" t="str">
        <x:v>操作人员/设备人员</x:v>
      </x:c>
    </x:row>
    <x:row r="47" ht="72" customHeight="1">
      <x:c r="A47" s="30" t="n">
        <x:v>43</x:v>
      </x:c>
      <x:c r="B47" s="30" t="str">
        <x:v>输送设备</x:v>
      </x:c>
      <x:c r="C47" s="30" t="str">
        <x:v>气体压缩机</x:v>
      </x:c>
      <x:c r="D47" s="30" t="str">
        <x:v>气体泄漏检测是否正常</x:v>
      </x:c>
      <x:c r="E47" s="30" t="str">
        <x:v>检查密封、接口和可燃/有毒气报警</x:v>
      </x:c>
      <x:c r="F47" s="30" t="str">
        <x:v>无泄漏，报警器正常</x:v>
      </x:c>
      <x:c r="G47" s="30" t="str">
        <x:v>中毒、火灾、爆炸</x:v>
      </x:c>
      <x:c r="H47" s="30" t="str">
        <x:v>隔离气源、通风、警戒</x:v>
      </x:c>
      <x:c r="I47" s="30" t="str">
        <x:v>每班</x:v>
      </x:c>
      <x:c r="J47" s="30" t="str">
        <x:v>操作人员/设备人员</x:v>
      </x:c>
    </x:row>
    <x:row r="48" ht="72" customHeight="1">
      <x:c r="A48" s="30" t="n">
        <x:v>44</x:v>
      </x:c>
      <x:c r="B48" s="30" t="str">
        <x:v>分离设备</x:v>
      </x:c>
      <x:c r="C48" s="30" t="str">
        <x:v>离心机</x:v>
      </x:c>
      <x:c r="D48" s="30" t="str">
        <x:v>转速是否在安全范围</x:v>
      </x:c>
      <x:c r="E48" s="30" t="str">
        <x:v>核对转速显示、超速保护和批记录</x:v>
      </x:c>
      <x:c r="F48" s="30" t="str">
        <x:v>转速不超过允许值，超速联锁有效</x:v>
      </x:c>
      <x:c r="G48" s="30" t="str">
        <x:v>转鼓破裂、飞出物</x:v>
      </x:c>
      <x:c r="H48" s="30" t="str">
        <x:v>立即停机，禁止再次启动直至检查</x:v>
      </x:c>
      <x:c r="I48" s="30" t="str">
        <x:v>每批/连续</x:v>
      </x:c>
      <x:c r="J48" s="30" t="str">
        <x:v>操作人员/设备人员</x:v>
      </x:c>
    </x:row>
    <x:row r="49" ht="72" customHeight="1">
      <x:c r="A49" s="30" t="n">
        <x:v>45</x:v>
      </x:c>
      <x:c r="B49" s="30" t="str">
        <x:v>分离设备</x:v>
      </x:c>
      <x:c r="C49" s="30" t="str">
        <x:v>离心机</x:v>
      </x:c>
      <x:c r="D49" s="30" t="str">
        <x:v>振动是否异常</x:v>
      </x:c>
      <x:c r="E49" s="30" t="str">
        <x:v>查看振动值和设备声音</x:v>
      </x:c>
      <x:c r="F49" s="30" t="str">
        <x:v>振动低于报警值，无周期性冲击</x:v>
      </x:c>
      <x:c r="G49" s="30" t="str">
        <x:v>不平衡、轴承或转鼓损坏</x:v>
      </x:c>
      <x:c r="H49" s="30" t="str">
        <x:v>停机排料并检查平衡和转鼓</x:v>
      </x:c>
      <x:c r="I49" s="30" t="str">
        <x:v>每批</x:v>
      </x:c>
      <x:c r="J49" s="30" t="str">
        <x:v>操作人员/设备人员</x:v>
      </x:c>
    </x:row>
    <x:row r="50" ht="72" customHeight="1">
      <x:c r="A50" s="30" t="n">
        <x:v>46</x:v>
      </x:c>
      <x:c r="B50" s="30" t="str">
        <x:v>分离设备</x:v>
      </x:c>
      <x:c r="C50" s="30" t="str">
        <x:v>离心机</x:v>
      </x:c>
      <x:c r="D50" s="30" t="str">
        <x:v>盖锁和开盖联锁是否有效</x:v>
      </x:c>
      <x:c r="E50" s="30" t="str">
        <x:v>测试未停稳不能开盖、开盖不能启动</x:v>
      </x:c>
      <x:c r="F50" s="30" t="str">
        <x:v>联锁功能正常</x:v>
      </x:c>
      <x:c r="G50" s="30" t="str">
        <x:v>卷入、飞溅和机械伤害</x:v>
      </x:c>
      <x:c r="H50" s="30" t="str">
        <x:v>停止使用并维修联锁</x:v>
      </x:c>
      <x:c r="I50" s="30" t="str">
        <x:v>每日/开机前</x:v>
      </x:c>
      <x:c r="J50" s="30" t="str">
        <x:v>操作人员/设备人员</x:v>
      </x:c>
    </x:row>
    <x:row r="51" ht="72" customHeight="1">
      <x:c r="A51" s="30" t="n">
        <x:v>47</x:v>
      </x:c>
      <x:c r="B51" s="30" t="str">
        <x:v>分离设备</x:v>
      </x:c>
      <x:c r="C51" s="30" t="str">
        <x:v>离心机</x:v>
      </x:c>
      <x:c r="D51" s="30" t="str">
        <x:v>进料是否均匀且不过载</x:v>
      </x:c>
      <x:c r="E51" s="30" t="str">
        <x:v>检查进料流量、电流和装料量</x:v>
      </x:c>
      <x:c r="F51" s="30" t="str">
        <x:v>装料均匀，不超过额定质量</x:v>
      </x:c>
      <x:c r="G51" s="30" t="str">
        <x:v>严重不平衡和超载</x:v>
      </x:c>
      <x:c r="H51" s="30" t="str">
        <x:v>停止进料，按规程减载</x:v>
      </x:c>
      <x:c r="I51" s="30" t="str">
        <x:v>每批</x:v>
      </x:c>
      <x:c r="J51" s="30" t="str">
        <x:v>操作人员/设备人员</x:v>
      </x:c>
    </x:row>
    <x:row r="52" ht="72" customHeight="1">
      <x:c r="A52" s="30" t="n">
        <x:v>48</x:v>
      </x:c>
      <x:c r="B52" s="30" t="str">
        <x:v>分离设备</x:v>
      </x:c>
      <x:c r="C52" s="30" t="str">
        <x:v>离心机</x:v>
      </x:c>
      <x:c r="D52" s="30" t="str">
        <x:v>外壳和密封是否泄漏</x:v>
      </x:c>
      <x:c r="E52" s="30" t="str">
        <x:v>检查壳体、排液口和氮封</x:v>
      </x:c>
      <x:c r="F52" s="30" t="str">
        <x:v>无物料和蒸气泄漏</x:v>
      </x:c>
      <x:c r="G52" s="30" t="str">
        <x:v>中毒、火灾、污染</x:v>
      </x:c>
      <x:c r="H52" s="30" t="str">
        <x:v>停机隔离、通风并收集泄漏</x:v>
      </x:c>
      <x:c r="I52" s="30" t="str">
        <x:v>每批</x:v>
      </x:c>
      <x:c r="J52" s="30" t="str">
        <x:v>操作人员/设备人员</x:v>
      </x:c>
    </x:row>
    <x:row r="53" ht="72" customHeight="1">
      <x:c r="A53" s="30" t="n">
        <x:v>49</x:v>
      </x:c>
      <x:c r="B53" s="30" t="str">
        <x:v>分离设备</x:v>
      </x:c>
      <x:c r="C53" s="30" t="str">
        <x:v>离心机</x:v>
      </x:c>
      <x:c r="D53" s="30" t="str">
        <x:v>惰化系统是否正常（易燃物料）</x:v>
      </x:c>
      <x:c r="E53" s="30" t="str">
        <x:v>检查氧含量、氮气压力和联锁</x:v>
      </x:c>
      <x:c r="F53" s="30" t="str">
        <x:v>氧含量低于规定上限，联锁有效</x:v>
      </x:c>
      <x:c r="G53" s="30" t="str">
        <x:v>爆炸性气氛形成</x:v>
      </x:c>
      <x:c r="H53" s="30" t="str">
        <x:v>停止进料和运行，恢复惰化</x:v>
      </x:c>
      <x:c r="I53" s="30" t="str">
        <x:v>每批/连续</x:v>
      </x:c>
      <x:c r="J53" s="30" t="str">
        <x:v>操作人员/设备人员</x:v>
      </x:c>
    </x:row>
    <x:row r="54" ht="72" customHeight="1">
      <x:c r="A54" s="30" t="n">
        <x:v>50</x:v>
      </x:c>
      <x:c r="B54" s="30" t="str">
        <x:v>干燥设备</x:v>
      </x:c>
      <x:c r="C54" s="30" t="str">
        <x:v>真空干燥箱/回转干燥机</x:v>
      </x:c>
      <x:c r="D54" s="30" t="str">
        <x:v>温度是否超过物料安全温度</x:v>
      </x:c>
      <x:c r="E54" s="30" t="str">
        <x:v>查看多点温度及趋势</x:v>
      </x:c>
      <x:c r="F54" s="30" t="str">
        <x:v>低于分解、自燃和溶剂危险温度</x:v>
      </x:c>
      <x:c r="G54" s="30" t="str">
        <x:v>热分解、自燃、粉尘爆炸</x:v>
      </x:c>
      <x:c r="H54" s="30" t="str">
        <x:v>停止加热，保持安全通风/惰化</x:v>
      </x:c>
      <x:c r="I54" s="30" t="str">
        <x:v>连续监控</x:v>
      </x:c>
      <x:c r="J54" s="30" t="str">
        <x:v>操作人员/设备人员</x:v>
      </x:c>
    </x:row>
    <x:row r="55" ht="72" customHeight="1">
      <x:c r="A55" s="30" t="n">
        <x:v>51</x:v>
      </x:c>
      <x:c r="B55" s="30" t="str">
        <x:v>干燥设备</x:v>
      </x:c>
      <x:c r="C55" s="30" t="str">
        <x:v>真空干燥箱/回转干燥机</x:v>
      </x:c>
      <x:c r="D55" s="30" t="str">
        <x:v>真空度/压力是否正常</x:v>
      </x:c>
      <x:c r="E55" s="30" t="str">
        <x:v>检查真空表、阀位和泄漏</x:v>
      </x:c>
      <x:c r="F55" s="30" t="str">
        <x:v>真空稳定且设备不超设计压差</x:v>
      </x:c>
      <x:c r="G55" s="30" t="str">
        <x:v>设备失稳、空气进入、溶剂爆炸</x:v>
      </x:c>
      <x:c r="H55" s="30" t="str">
        <x:v>停止加热并缓慢恢复安全状态</x:v>
      </x:c>
      <x:c r="I55" s="30" t="str">
        <x:v>每班</x:v>
      </x:c>
      <x:c r="J55" s="30" t="str">
        <x:v>操作人员/设备人员</x:v>
      </x:c>
    </x:row>
    <x:row r="56" ht="72" customHeight="1">
      <x:c r="A56" s="30" t="n">
        <x:v>52</x:v>
      </x:c>
      <x:c r="B56" s="30" t="str">
        <x:v>干燥设备</x:v>
      </x:c>
      <x:c r="C56" s="30" t="str">
        <x:v>真空干燥箱/回转干燥机</x:v>
      </x:c>
      <x:c r="D56" s="30" t="str">
        <x:v>尾气冷凝和回收是否正常</x:v>
      </x:c>
      <x:c r="E56" s="30" t="str">
        <x:v>检查冷凝温度、回收量和排气浓度</x:v>
      </x:c>
      <x:c r="F56" s="30" t="str">
        <x:v>冷凝有效，尾气浓度受控</x:v>
      </x:c>
      <x:c r="G56" s="30" t="str">
        <x:v>VOC排放、火灾爆炸</x:v>
      </x:c>
      <x:c r="H56" s="30" t="str">
        <x:v>降低加热，启动备用冷凝/吸收</x:v>
      </x:c>
      <x:c r="I56" s="30" t="str">
        <x:v>每班</x:v>
      </x:c>
      <x:c r="J56" s="30" t="str">
        <x:v>操作人员/设备人员</x:v>
      </x:c>
    </x:row>
    <x:row r="57" ht="72" customHeight="1">
      <x:c r="A57" s="30" t="n">
        <x:v>53</x:v>
      </x:c>
      <x:c r="B57" s="30" t="str">
        <x:v>干燥设备</x:v>
      </x:c>
      <x:c r="C57" s="30" t="str">
        <x:v>真空干燥箱/回转干燥机</x:v>
      </x:c>
      <x:c r="D57" s="30" t="str">
        <x:v>粉尘积聚是否清理</x:v>
      </x:c>
      <x:c r="E57" s="30" t="str">
        <x:v>检查内部、风道、平台和电机表面</x:v>
      </x:c>
      <x:c r="F57" s="30" t="str">
        <x:v>无明显积尘，清扫使用防爆工具</x:v>
      </x:c>
      <x:c r="G57" s="30" t="str">
        <x:v>粉尘云爆炸和阴燃</x:v>
      </x:c>
      <x:c r="H57" s="30" t="str">
        <x:v>停机清理，禁止压缩空气扬尘</x:v>
      </x:c>
      <x:c r="I57" s="30" t="str">
        <x:v>每班/批次</x:v>
      </x:c>
      <x:c r="J57" s="30" t="str">
        <x:v>操作人员/设备人员</x:v>
      </x:c>
    </x:row>
    <x:row r="58" ht="72" customHeight="1">
      <x:c r="A58" s="30" t="n">
        <x:v>54</x:v>
      </x:c>
      <x:c r="B58" s="30" t="str">
        <x:v>干燥设备</x:v>
      </x:c>
      <x:c r="C58" s="30" t="str">
        <x:v>真空干燥箱/回转干燥机</x:v>
      </x:c>
      <x:c r="D58" s="30" t="str">
        <x:v>惰化和氧含量是否正常</x:v>
      </x:c>
      <x:c r="E58" s="30" t="str">
        <x:v>检查氮气和氧分析仪</x:v>
      </x:c>
      <x:c r="F58" s="30" t="str">
        <x:v>氧含量低于工艺规定值</x:v>
      </x:c>
      <x:c r="G58" s="30" t="str">
        <x:v>可燃蒸气/粉尘爆炸</x:v>
      </x:c>
      <x:c r="H58" s="30" t="str">
        <x:v>停止加热和进料，恢复惰化</x:v>
      </x:c>
      <x:c r="I58" s="30" t="str">
        <x:v>连续监控</x:v>
      </x:c>
      <x:c r="J58" s="30" t="str">
        <x:v>操作人员/设备人员</x:v>
      </x:c>
    </x:row>
    <x:row r="59" ht="72" customHeight="1">
      <x:c r="A59" s="30" t="n">
        <x:v>55</x:v>
      </x:c>
      <x:c r="B59" s="30" t="str">
        <x:v>干燥设备</x:v>
      </x:c>
      <x:c r="C59" s="30" t="str">
        <x:v>真空干燥箱/回转干燥机</x:v>
      </x:c>
      <x:c r="D59" s="30" t="str">
        <x:v>门锁、泄爆和接地是否完好</x:v>
      </x:c>
      <x:c r="E59" s="30" t="str">
        <x:v>检查门封、泄爆口、接地和联锁</x:v>
      </x:c>
      <x:c r="F59" s="30" t="str">
        <x:v>密封和联锁正常，泄爆通道无遮挡</x:v>
      </x:c>
      <x:c r="G59" s="30" t="str">
        <x:v>物料喷出、静电点火</x:v>
      </x:c>
      <x:c r="H59" s="30" t="str">
        <x:v>停止使用并修复</x:v>
      </x:c>
      <x:c r="I59" s="30" t="str">
        <x:v>开机前</x:v>
      </x:c>
      <x:c r="J59" s="30" t="str">
        <x:v>操作人员/设备人员</x:v>
      </x:c>
    </x:row>
    <x:row r="60" ht="72" customHeight="1">
      <x:c r="A60" s="30" t="n">
        <x:v>56</x:v>
      </x:c>
      <x:c r="B60" s="30" t="str">
        <x:v>分离设备</x:v>
      </x:c>
      <x:c r="C60" s="30" t="str">
        <x:v>过滤器/压滤机</x:v>
      </x:c>
      <x:c r="D60" s="30" t="str">
        <x:v>压差是否异常</x:v>
      </x:c>
      <x:c r="E60" s="30" t="str">
        <x:v>查看入口出口压力和压差</x:v>
      </x:c>
      <x:c r="F60" s="30" t="str">
        <x:v>压差低于更换/清洗限值</x:v>
      </x:c>
      <x:c r="G60" s="30" t="str">
        <x:v>滤芯堵塞、壳体超压</x:v>
      </x:c>
      <x:c r="H60" s="30" t="str">
        <x:v>停止进料，泄压后清洗或更换</x:v>
      </x:c>
      <x:c r="I60" s="30" t="str">
        <x:v>每班</x:v>
      </x:c>
      <x:c r="J60" s="30" t="str">
        <x:v>操作人员/设备人员</x:v>
      </x:c>
    </x:row>
    <x:row r="61" ht="72" customHeight="1">
      <x:c r="A61" s="30" t="n">
        <x:v>57</x:v>
      </x:c>
      <x:c r="B61" s="30" t="str">
        <x:v>分离设备</x:v>
      </x:c>
      <x:c r="C61" s="30" t="str">
        <x:v>过滤器/压滤机</x:v>
      </x:c>
      <x:c r="D61" s="30" t="str">
        <x:v>压紧机构是否可靠</x:v>
      </x:c>
      <x:c r="E61" s="30" t="str">
        <x:v>检查液压压力、锁紧销和滤板</x:v>
      </x:c>
      <x:c r="F61" s="30" t="str">
        <x:v>压紧到位，无松动变形</x:v>
      </x:c>
      <x:c r="G61" s="30" t="str">
        <x:v>喷料、机械伤害</x:v>
      </x:c>
      <x:c r="H61" s="30" t="str">
        <x:v>停止进料，泄压后调整</x:v>
      </x:c>
      <x:c r="I61" s="30" t="str">
        <x:v>每批</x:v>
      </x:c>
      <x:c r="J61" s="30" t="str">
        <x:v>操作人员/设备人员</x:v>
      </x:c>
    </x:row>
    <x:row r="62" ht="72" customHeight="1">
      <x:c r="A62" s="30" t="n">
        <x:v>58</x:v>
      </x:c>
      <x:c r="B62" s="30" t="str">
        <x:v>分离设备</x:v>
      </x:c>
      <x:c r="C62" s="30" t="str">
        <x:v>过滤器/压滤机</x:v>
      </x:c>
      <x:c r="D62" s="30" t="str">
        <x:v>壳体、滤板和软管是否泄漏</x:v>
      </x:c>
      <x:c r="E62" s="30" t="str">
        <x:v>目视检查</x:v>
      </x:c>
      <x:c r="F62" s="30" t="str">
        <x:v>无滴漏、鼓包和裂纹</x:v>
      </x:c>
      <x:c r="G62" s="30" t="str">
        <x:v>化学灼伤和污染</x:v>
      </x:c>
      <x:c r="H62" s="30" t="str">
        <x:v>隔离、泄压并更换损坏件</x:v>
      </x:c>
      <x:c r="I62" s="30" t="str">
        <x:v>每批</x:v>
      </x:c>
      <x:c r="J62" s="30" t="str">
        <x:v>操作人员/设备人员</x:v>
      </x:c>
    </x:row>
    <x:row r="63" ht="72" customHeight="1">
      <x:c r="A63" s="30" t="n">
        <x:v>59</x:v>
      </x:c>
      <x:c r="B63" s="30" t="str">
        <x:v>分离设备</x:v>
      </x:c>
      <x:c r="C63" s="30" t="str">
        <x:v>过滤器/压滤机</x:v>
      </x:c>
      <x:c r="D63" s="30" t="str">
        <x:v>开盖前是否完全泄压</x:v>
      </x:c>
      <x:c r="E63" s="30" t="str">
        <x:v>确认压力表归零和排空阀畅通</x:v>
      </x:c>
      <x:c r="F63" s="30" t="str">
        <x:v>内部压力为零并完成冲洗/置换</x:v>
      </x:c>
      <x:c r="G63" s="30" t="str">
        <x:v>高压喷射和中毒</x:v>
      </x:c>
      <x:c r="H63" s="30" t="str">
        <x:v>禁止开盖，继续泄压验证</x:v>
      </x:c>
      <x:c r="I63" s="30" t="str">
        <x:v>每次开盖</x:v>
      </x:c>
      <x:c r="J63" s="30" t="str">
        <x:v>操作人员/设备人员</x:v>
      </x:c>
    </x:row>
    <x:row r="64" ht="72" customHeight="1">
      <x:c r="A64" s="30" t="n">
        <x:v>60</x:v>
      </x:c>
      <x:c r="B64" s="30" t="str">
        <x:v>分离设备</x:v>
      </x:c>
      <x:c r="C64" s="30" t="str">
        <x:v>过滤器/压滤机</x:v>
      </x:c>
      <x:c r="D64" s="30" t="str">
        <x:v>滤饼性质是否存在自燃/反应风险</x:v>
      </x:c>
      <x:c r="E64" s="30" t="str">
        <x:v>核对物料SDS、温度和含湿量</x:v>
      </x:c>
      <x:c r="F64" s="30" t="str">
        <x:v>按规定保持湿润/隔离，不与禁忌物混合</x:v>
      </x:c>
      <x:c r="G64" s="30" t="str">
        <x:v>自热、自燃、放气</x:v>
      </x:c>
      <x:c r="H64" s="30" t="str">
        <x:v>转移至指定容器并控温/保持湿润</x:v>
      </x:c>
      <x:c r="I64" s="30" t="str">
        <x:v>每批</x:v>
      </x:c>
      <x:c r="J64" s="30" t="str">
        <x:v>操作人员/设备人员</x:v>
      </x:c>
    </x:row>
    <x:row r="65" ht="72" customHeight="1">
      <x:c r="A65" s="30" t="n">
        <x:v>61</x:v>
      </x:c>
      <x:c r="B65" s="30" t="str">
        <x:v>公用工程</x:v>
      </x:c>
      <x:c r="C65" s="30" t="str">
        <x:v>蒸汽锅炉</x:v>
      </x:c>
      <x:c r="D65" s="30" t="str">
        <x:v>水位是否正常且水位计清晰</x:v>
      </x:c>
      <x:c r="E65" s="30" t="str">
        <x:v>核对现场与远传水位，冲洗水位计</x:v>
      </x:c>
      <x:c r="F65" s="30" t="str">
        <x:v>水位在正常范围，双水位一致</x:v>
      </x:c>
      <x:c r="G65" s="30" t="str">
        <x:v>缺水爆管或满水带液</x:v>
      </x:c>
      <x:c r="H65" s="30" t="str">
        <x:v>按锅炉规程紧急处置，严禁盲目进水</x:v>
      </x:c>
      <x:c r="I65" s="30" t="str">
        <x:v>每班/连续</x:v>
      </x:c>
      <x:c r="J65" s="30" t="str">
        <x:v>操作人员/设备人员</x:v>
      </x:c>
    </x:row>
    <x:row r="66" ht="72" customHeight="1">
      <x:c r="A66" s="30" t="n">
        <x:v>62</x:v>
      </x:c>
      <x:c r="B66" s="30" t="str">
        <x:v>公用工程</x:v>
      </x:c>
      <x:c r="C66" s="30" t="str">
        <x:v>蒸汽锅炉</x:v>
      </x:c>
      <x:c r="D66" s="30" t="str">
        <x:v>蒸汽压力是否正常</x:v>
      </x:c>
      <x:c r="E66" s="30" t="str">
        <x:v>检查压力表和安全阀</x:v>
      </x:c>
      <x:c r="F66" s="30" t="str">
        <x:v>压力低于允许工作压力，仪表有效</x:v>
      </x:c>
      <x:c r="G66" s="30" t="str">
        <x:v>超压爆炸</x:v>
      </x:c>
      <x:c r="H66" s="30" t="str">
        <x:v>降低燃烧，启动泄压，必要时停炉</x:v>
      </x:c>
      <x:c r="I66" s="30" t="str">
        <x:v>连续监控</x:v>
      </x:c>
      <x:c r="J66" s="30" t="str">
        <x:v>操作人员/设备人员</x:v>
      </x:c>
    </x:row>
    <x:row r="67" ht="72" customHeight="1">
      <x:c r="A67" s="30" t="n">
        <x:v>63</x:v>
      </x:c>
      <x:c r="B67" s="30" t="str">
        <x:v>公用工程</x:v>
      </x:c>
      <x:c r="C67" s="30" t="str">
        <x:v>蒸汽锅炉</x:v>
      </x:c>
      <x:c r="D67" s="30" t="str">
        <x:v>燃烧是否稳定</x:v>
      </x:c>
      <x:c r="E67" s="30" t="str">
        <x:v>观察火焰、炉膛压力、氧含量和排烟</x:v>
      </x:c>
      <x:c r="F67" s="30" t="str">
        <x:v>无脱火、回火、黑烟或炉膛正压</x:v>
      </x:c>
      <x:c r="G67" s="30" t="str">
        <x:v>炉膛爆炸、CO中毒</x:v>
      </x:c>
      <x:c r="H67" s="30" t="str">
        <x:v>切断燃料，按吹扫程序处理</x:v>
      </x:c>
      <x:c r="I67" s="30" t="str">
        <x:v>每班/连续</x:v>
      </x:c>
      <x:c r="J67" s="30" t="str">
        <x:v>操作人员/设备人员</x:v>
      </x:c>
    </x:row>
    <x:row r="68" ht="72" customHeight="1">
      <x:c r="A68" s="30" t="n">
        <x:v>64</x:v>
      </x:c>
      <x:c r="B68" s="30" t="str">
        <x:v>公用工程</x:v>
      </x:c>
      <x:c r="C68" s="30" t="str">
        <x:v>蒸汽锅炉</x:v>
      </x:c>
      <x:c r="D68" s="30" t="str">
        <x:v>低水位、熄火和超压联锁是否有效</x:v>
      </x:c>
      <x:c r="E68" s="30" t="str">
        <x:v>核对试验记录和旁路状态</x:v>
      </x:c>
      <x:c r="F68" s="30" t="str">
        <x:v>联锁投入并按计划测试</x:v>
      </x:c>
      <x:c r="G68" s="30" t="str">
        <x:v>关键保护失效</x:v>
      </x:c>
      <x:c r="H68" s="30" t="str">
        <x:v>停止运行或采取批准的替代措施</x:v>
      </x:c>
      <x:c r="I68" s="30" t="str">
        <x:v>每班状态+定期试验</x:v>
      </x:c>
      <x:c r="J68" s="30" t="str">
        <x:v>操作人员/设备人员</x:v>
      </x:c>
    </x:row>
    <x:row r="69" ht="72" customHeight="1">
      <x:c r="A69" s="30" t="n">
        <x:v>65</x:v>
      </x:c>
      <x:c r="B69" s="30" t="str">
        <x:v>公用工程</x:v>
      </x:c>
      <x:c r="C69" s="30" t="str">
        <x:v>蒸汽锅炉</x:v>
      </x:c>
      <x:c r="D69" s="30" t="str">
        <x:v>给水泵和水处理是否正常</x:v>
      </x:c>
      <x:c r="E69" s="30" t="str">
        <x:v>检查泵、给水压力、水质记录</x:v>
      </x:c>
      <x:c r="F69" s="30" t="str">
        <x:v>给水可靠，水质达标</x:v>
      </x:c>
      <x:c r="G69" s="30" t="str">
        <x:v>结垢、腐蚀、缺水</x:v>
      </x:c>
      <x:c r="H69" s="30" t="str">
        <x:v>启用备用泵，纠正水处理</x:v>
      </x:c>
      <x:c r="I69" s="30" t="str">
        <x:v>每班</x:v>
      </x:c>
      <x:c r="J69" s="30" t="str">
        <x:v>操作人员/设备人员</x:v>
      </x:c>
    </x:row>
    <x:row r="70" ht="72" customHeight="1">
      <x:c r="A70" s="30" t="n">
        <x:v>66</x:v>
      </x:c>
      <x:c r="B70" s="30" t="str">
        <x:v>公用工程</x:v>
      </x:c>
      <x:c r="C70" s="30" t="str">
        <x:v>蒸汽锅炉</x:v>
      </x:c>
      <x:c r="D70" s="30" t="str">
        <x:v>燃气/燃油系统是否泄漏</x:v>
      </x:c>
      <x:c r="E70" s="30" t="str">
        <x:v>检测阀组、软连接和报警器</x:v>
      </x:c>
      <x:c r="F70" s="30" t="str">
        <x:v>无泄漏，紧急切断阀可用</x:v>
      </x:c>
      <x:c r="G70" s="30" t="str">
        <x:v>火灾、爆炸</x:v>
      </x:c>
      <x:c r="H70" s="30" t="str">
        <x:v>切断燃料、通风、禁止点火</x:v>
      </x:c>
      <x:c r="I70" s="30" t="str">
        <x:v>每班</x:v>
      </x:c>
      <x:c r="J70" s="30" t="str">
        <x:v>操作人员/设备人员</x:v>
      </x:c>
    </x:row>
    <x:row r="71" ht="72" customHeight="1">
      <x:c r="A71" s="30" t="n">
        <x:v>67</x:v>
      </x:c>
      <x:c r="B71" s="30" t="str">
        <x:v>承压设备</x:v>
      </x:c>
      <x:c r="C71" s="30" t="str">
        <x:v>压力容器/气液分离罐</x:v>
      </x:c>
      <x:c r="D71" s="30" t="str">
        <x:v>压力温度是否在设计范围</x:v>
      </x:c>
      <x:c r="E71" s="30" t="str">
        <x:v>查看仪表和铭牌参数</x:v>
      </x:c>
      <x:c r="F71" s="30" t="str">
        <x:v>低于设计和工艺限值</x:v>
      </x:c>
      <x:c r="G71" s="30" t="str">
        <x:v>脆裂、蠕变或爆破</x:v>
      </x:c>
      <x:c r="H71" s="30" t="str">
        <x:v>降压降温并停车检查</x:v>
      </x:c>
      <x:c r="I71" s="30" t="str">
        <x:v>每班</x:v>
      </x:c>
      <x:c r="J71" s="30" t="str">
        <x:v>操作人员/设备人员</x:v>
      </x:c>
    </x:row>
    <x:row r="72" ht="72" customHeight="1">
      <x:c r="A72" s="30" t="n">
        <x:v>68</x:v>
      </x:c>
      <x:c r="B72" s="30" t="str">
        <x:v>承压设备</x:v>
      </x:c>
      <x:c r="C72" s="30" t="str">
        <x:v>压力容器/气液分离罐</x:v>
      </x:c>
      <x:c r="D72" s="30" t="str">
        <x:v>安全阀、爆破片和压力表是否有效</x:v>
      </x:c>
      <x:c r="E72" s="30" t="str">
        <x:v>核对有效期、铅封、阀位和量程</x:v>
      </x:c>
      <x:c r="F72" s="30" t="str">
        <x:v>在有效期，隔离阀正确，量程合适</x:v>
      </x:c>
      <x:c r="G72" s="30" t="str">
        <x:v>超压保护失效</x:v>
      </x:c>
      <x:c r="H72" s="30" t="str">
        <x:v>停止违规运行，安排检验</x:v>
      </x:c>
      <x:c r="I72" s="30" t="str">
        <x:v>每班外观+定检</x:v>
      </x:c>
      <x:c r="J72" s="30" t="str">
        <x:v>操作人员/设备人员</x:v>
      </x:c>
    </x:row>
    <x:row r="73" ht="72" customHeight="1">
      <x:c r="A73" s="30" t="n">
        <x:v>69</x:v>
      </x:c>
      <x:c r="B73" s="30" t="str">
        <x:v>承压设备</x:v>
      </x:c>
      <x:c r="C73" s="30" t="str">
        <x:v>压力容器/气液分离罐</x:v>
      </x:c>
      <x:c r="D73" s="30" t="str">
        <x:v>壳体焊缝支座是否异常</x:v>
      </x:c>
      <x:c r="E73" s="30" t="str">
        <x:v>目视检查腐蚀、裂纹、鼓包、振动和沉降</x:v>
      </x:c>
      <x:c r="F73" s="30" t="str">
        <x:v>无异常变形、泄漏和支座松动</x:v>
      </x:c>
      <x:c r="G73" s="30" t="str">
        <x:v>结构失效</x:v>
      </x:c>
      <x:c r="H73" s="30" t="str">
        <x:v>隔离并由专业机构评估</x:v>
      </x:c>
      <x:c r="I73" s="30" t="str">
        <x:v>每日外观+定期检验</x:v>
      </x:c>
      <x:c r="J73" s="30" t="str">
        <x:v>操作人员/设备人员</x:v>
      </x:c>
    </x:row>
    <x:row r="74" ht="72" customHeight="1">
      <x:c r="A74" s="30" t="n">
        <x:v>70</x:v>
      </x:c>
      <x:c r="B74" s="30" t="str">
        <x:v>承压设备</x:v>
      </x:c>
      <x:c r="C74" s="30" t="str">
        <x:v>压力容器/气液分离罐</x:v>
      </x:c>
      <x:c r="D74" s="30" t="str">
        <x:v>液位和排凝是否正常</x:v>
      </x:c>
      <x:c r="E74" s="30" t="str">
        <x:v>检查液位计、排凝阀和液封</x:v>
      </x:c>
      <x:c r="F74" s="30" t="str">
        <x:v>液位稳定，排凝畅通，无气体窜出</x:v>
      </x:c>
      <x:c r="G74" s="30" t="str">
        <x:v>液体夹带、液击或气体泄漏</x:v>
      </x:c>
      <x:c r="H74" s="30" t="str">
        <x:v>调整液位并按规程排凝</x:v>
      </x:c>
      <x:c r="I74" s="30" t="str">
        <x:v>每班</x:v>
      </x:c>
      <x:c r="J74" s="30" t="str">
        <x:v>操作人员/设备人员</x:v>
      </x:c>
    </x:row>
    <x:row r="75" ht="72" customHeight="1">
      <x:c r="A75" s="30" t="n">
        <x:v>71</x:v>
      </x:c>
      <x:c r="B75" s="30" t="str">
        <x:v>承压设备</x:v>
      </x:c>
      <x:c r="C75" s="30" t="str">
        <x:v>压力容器/气液分离罐</x:v>
      </x:c>
      <x:c r="D75" s="30" t="str">
        <x:v>是否按期进行法定检验</x:v>
      </x:c>
      <x:c r="E75" s="30" t="str">
        <x:v>核对使用登记、定检报告和下次日期</x:v>
      </x:c>
      <x:c r="F75" s="30" t="str">
        <x:v>证件齐全且在有效期</x:v>
      </x:c>
      <x:c r="G75" s="30" t="str">
        <x:v>违法运行和未发现的缺陷</x:v>
      </x:c>
      <x:c r="H75" s="30" t="str">
        <x:v>到期前停用并申请检验</x:v>
      </x:c>
      <x:c r="I75" s="30" t="str">
        <x:v>每月台账</x:v>
      </x:c>
      <x:c r="J75" s="30" t="str">
        <x:v>操作人员/设备人员</x:v>
      </x:c>
    </x:row>
    <x:row r="76" ht="72" customHeight="1">
      <x:c r="A76" s="30" t="n">
        <x:v>72</x:v>
      </x:c>
      <x:c r="B76" s="30" t="str">
        <x:v>管道系统</x:v>
      </x:c>
      <x:c r="C76" s="30" t="str">
        <x:v>工艺管道与阀门</x:v>
      </x:c>
      <x:c r="D76" s="30" t="str">
        <x:v>管道法兰阀门是否泄漏</x:v>
      </x:c>
      <x:c r="E76" s="30" t="str">
        <x:v>目视、检测仪、试纸或保温层异常检查</x:v>
      </x:c>
      <x:c r="F76" s="30" t="str">
        <x:v>无滴漏、结晶、异味和报警</x:v>
      </x:c>
      <x:c r="G76" s="30" t="str">
        <x:v>火灾、中毒、腐蚀和污染</x:v>
      </x:c>
      <x:c r="H76" s="30" t="str">
        <x:v>隔离、泄压、置换后维修</x:v>
      </x:c>
      <x:c r="I76" s="30" t="str">
        <x:v>每班</x:v>
      </x:c>
      <x:c r="J76" s="30" t="str">
        <x:v>操作人员/设备人员</x:v>
      </x:c>
    </x:row>
    <x:row r="77" ht="72" customHeight="1">
      <x:c r="A77" s="30" t="n">
        <x:v>73</x:v>
      </x:c>
      <x:c r="B77" s="30" t="str">
        <x:v>管道系统</x:v>
      </x:c>
      <x:c r="C77" s="30" t="str">
        <x:v>工艺管道与阀门</x:v>
      </x:c>
      <x:c r="D77" s="30" t="str">
        <x:v>管道是否腐蚀减薄或异常振动</x:v>
      </x:c>
      <x:c r="E77" s="30" t="str">
        <x:v>检查锈蚀、冲刷点、壁厚记录和支架</x:v>
      </x:c>
      <x:c r="F77" s="30" t="str">
        <x:v>壁厚满足要求，振动受控</x:v>
      </x:c>
      <x:c r="G77" s="30" t="str">
        <x:v>破裂和疲劳泄漏</x:v>
      </x:c>
      <x:c r="H77" s="30" t="str">
        <x:v>降负荷并安排测厚/加固</x:v>
      </x:c>
      <x:c r="I77" s="30" t="str">
        <x:v>每班外观+定期测厚</x:v>
      </x:c>
      <x:c r="J77" s="30" t="str">
        <x:v>操作人员/设备人员</x:v>
      </x:c>
    </x:row>
    <x:row r="78" ht="72" customHeight="1">
      <x:c r="A78" s="30" t="n">
        <x:v>74</x:v>
      </x:c>
      <x:c r="B78" s="30" t="str">
        <x:v>管道系统</x:v>
      </x:c>
      <x:c r="C78" s="30" t="str">
        <x:v>工艺管道与阀门</x:v>
      </x:c>
      <x:c r="D78" s="30" t="str">
        <x:v>阀位和盲板状态是否正确</x:v>
      </x:c>
      <x:c r="E78" s="30" t="str">
        <x:v>现场核对挂牌、流程图和盲板台账</x:v>
      </x:c>
      <x:c r="F78" s="30" t="str">
        <x:v>与操作方案一致，标识清楚</x:v>
      </x:c>
      <x:c r="G78" s="30" t="str">
        <x:v>串料、误送、隔离失效</x:v>
      </x:c>
      <x:c r="H78" s="30" t="str">
        <x:v>立即纠正并执行双人确认</x:v>
      </x:c>
      <x:c r="I78" s="30" t="str">
        <x:v>每次操作</x:v>
      </x:c>
      <x:c r="J78" s="30" t="str">
        <x:v>操作人员/设备人员</x:v>
      </x:c>
    </x:row>
    <x:row r="79" ht="72" customHeight="1">
      <x:c r="A79" s="30" t="n">
        <x:v>75</x:v>
      </x:c>
      <x:c r="B79" s="30" t="str">
        <x:v>管道系统</x:v>
      </x:c>
      <x:c r="C79" s="30" t="str">
        <x:v>工艺管道与阀门</x:v>
      </x:c>
      <x:c r="D79" s="30" t="str">
        <x:v>支吊架和补偿器是否正常</x:v>
      </x:c>
      <x:c r="E79" s="30" t="str">
        <x:v>检查松动、脱空、位移和腐蚀</x:v>
      </x:c>
      <x:c r="F79" s="30" t="str">
        <x:v>受力合理，无卡死或异常位移</x:v>
      </x:c>
      <x:c r="G79" s="30" t="str">
        <x:v>应力集中和管道破裂</x:v>
      </x:c>
      <x:c r="H79" s="30" t="str">
        <x:v>降低负荷并修复</x:v>
      </x:c>
      <x:c r="I79" s="30" t="str">
        <x:v>每月</x:v>
      </x:c>
      <x:c r="J79" s="30" t="str">
        <x:v>操作人员/设备人员</x:v>
      </x:c>
    </x:row>
    <x:row r="80" ht="72" customHeight="1">
      <x:c r="A80" s="30" t="n">
        <x:v>76</x:v>
      </x:c>
      <x:c r="B80" s="30" t="str">
        <x:v>管道系统</x:v>
      </x:c>
      <x:c r="C80" s="30" t="str">
        <x:v>工艺管道与阀门</x:v>
      </x:c>
      <x:c r="D80" s="30" t="str">
        <x:v>保温层是否破损积水</x:v>
      </x:c>
      <x:c r="E80" s="30" t="str">
        <x:v>检查破损、湿痕和低温结冰</x:v>
      </x:c>
      <x:c r="F80" s="30" t="str">
        <x:v>保温完整干燥</x:v>
      </x:c>
      <x:c r="G80" s="30" t="str">
        <x:v>保温下腐蚀、冻伤或烫伤</x:v>
      </x:c>
      <x:c r="H80" s="30" t="str">
        <x:v>修复并检查管壁</x:v>
      </x:c>
      <x:c r="I80" s="30" t="str">
        <x:v>每月</x:v>
      </x:c>
      <x:c r="J80" s="30" t="str">
        <x:v>操作人员/设备人员</x:v>
      </x:c>
    </x:row>
    <x:row r="81" ht="72" customHeight="1">
      <x:c r="A81" s="30" t="n">
        <x:v>77</x:v>
      </x:c>
      <x:c r="B81" s="30" t="str">
        <x:v>管道系统</x:v>
      </x:c>
      <x:c r="C81" s="30" t="str">
        <x:v>工艺管道与阀门</x:v>
      </x:c>
      <x:c r="D81" s="30" t="str">
        <x:v>静电跨接和接地是否完好</x:v>
      </x:c>
      <x:c r="E81" s="30" t="str">
        <x:v>检查软管、法兰跨接和检测记录</x:v>
      </x:c>
      <x:c r="F81" s="30" t="str">
        <x:v>连接可靠</x:v>
      </x:c>
      <x:c r="G81" s="30" t="str">
        <x:v>静电点火</x:v>
      </x:c>
      <x:c r="H81" s="30" t="str">
        <x:v>停止易燃介质输送并修复</x:v>
      </x:c>
      <x:c r="I81" s="30" t="str">
        <x:v>作业前/每月</x:v>
      </x:c>
      <x:c r="J81" s="30" t="str">
        <x:v>操作人员/设备人员</x:v>
      </x:c>
    </x:row>
    <x:row r="82" ht="72" customHeight="1">
      <x:c r="A82" s="30" t="n">
        <x:v>78</x:v>
      </x:c>
      <x:c r="B82" s="30" t="str">
        <x:v>公用工程</x:v>
      </x:c>
      <x:c r="C82" s="30" t="str">
        <x:v>制冷机组/冷水机</x:v>
      </x:c>
      <x:c r="D82" s="30" t="str">
        <x:v>供回水温度和流量是否正常</x:v>
      </x:c>
      <x:c r="E82" s="30" t="str">
        <x:v>查看温度、流量和压差</x:v>
      </x:c>
      <x:c r="F82" s="30" t="str">
        <x:v>满足工艺最低冷却能力</x:v>
      </x:c>
      <x:c r="G82" s="30" t="str">
        <x:v>反应或冷凝失控</x:v>
      </x:c>
      <x:c r="H82" s="30" t="str">
        <x:v>启动备用机组，降低装置负荷</x:v>
      </x:c>
      <x:c r="I82" s="30" t="str">
        <x:v>每班/连续</x:v>
      </x:c>
      <x:c r="J82" s="30" t="str">
        <x:v>操作人员/设备人员</x:v>
      </x:c>
    </x:row>
    <x:row r="83" ht="72" customHeight="1">
      <x:c r="A83" s="30" t="n">
        <x:v>79</x:v>
      </x:c>
      <x:c r="B83" s="30" t="str">
        <x:v>公用工程</x:v>
      </x:c>
      <x:c r="C83" s="30" t="str">
        <x:v>制冷机组/冷水机</x:v>
      </x:c>
      <x:c r="D83" s="30" t="str">
        <x:v>制冷剂压力温度是否异常</x:v>
      </x:c>
      <x:c r="E83" s="30" t="str">
        <x:v>查看高低压和排气温度</x:v>
      </x:c>
      <x:c r="F83" s="30" t="str">
        <x:v>在机组允许范围，无频繁跳机</x:v>
      </x:c>
      <x:c r="G83" s="30" t="str">
        <x:v>压缩机损坏、制冷剂泄漏</x:v>
      </x:c>
      <x:c r="H83" s="30" t="str">
        <x:v>停机检查冷凝、膨胀阀和制冷剂</x:v>
      </x:c>
      <x:c r="I83" s="30" t="str">
        <x:v>每班</x:v>
      </x:c>
      <x:c r="J83" s="30" t="str">
        <x:v>操作人员/设备人员</x:v>
      </x:c>
    </x:row>
    <x:row r="84" ht="72" customHeight="1">
      <x:c r="A84" s="30" t="n">
        <x:v>80</x:v>
      </x:c>
      <x:c r="B84" s="30" t="str">
        <x:v>公用工程</x:v>
      </x:c>
      <x:c r="C84" s="30" t="str">
        <x:v>制冷机组/冷水机</x:v>
      </x:c>
      <x:c r="D84" s="30" t="str">
        <x:v>制冷剂是否泄漏</x:v>
      </x:c>
      <x:c r="E84" s="30" t="str">
        <x:v>检测接头、压缩机密封和报警器</x:v>
      </x:c>
      <x:c r="F84" s="30" t="str">
        <x:v>无泄漏、异味和报警</x:v>
      </x:c>
      <x:c r="G84" s="30" t="str">
        <x:v>中毒、窒息、冻伤或火灾（可燃制冷剂）</x:v>
      </x:c>
      <x:c r="H84" s="30" t="str">
        <x:v>停机隔离、通风、按介质预案处置</x:v>
      </x:c>
      <x:c r="I84" s="30" t="str">
        <x:v>每班</x:v>
      </x:c>
      <x:c r="J84" s="30" t="str">
        <x:v>操作人员/设备人员</x:v>
      </x:c>
    </x:row>
    <x:row r="85" ht="72" customHeight="1">
      <x:c r="A85" s="30" t="n">
        <x:v>81</x:v>
      </x:c>
      <x:c r="B85" s="30" t="str">
        <x:v>公用工程</x:v>
      </x:c>
      <x:c r="C85" s="30" t="str">
        <x:v>制冷机组/冷水机</x:v>
      </x:c>
      <x:c r="D85" s="30" t="str">
        <x:v>备用机组是否可启动</x:v>
      </x:c>
      <x:c r="E85" s="30" t="str">
        <x:v>执行轮换和试启动记录</x:v>
      </x:c>
      <x:c r="F85" s="30" t="str">
        <x:v>备用容量可用</x:v>
      </x:c>
      <x:c r="G85" s="30" t="str">
        <x:v>主机故障导致全厂失冷</x:v>
      </x:c>
      <x:c r="H85" s="30" t="str">
        <x:v>修复并限制高风险生产</x:v>
      </x:c>
      <x:c r="I85" s="30" t="str">
        <x:v>每日状态/定期试车</x:v>
      </x:c>
      <x:c r="J85" s="30" t="str">
        <x:v>操作人员/设备人员</x:v>
      </x:c>
    </x:row>
    <x:row r="86" ht="72" customHeight="1">
      <x:c r="A86" s="30" t="n">
        <x:v>82</x:v>
      </x:c>
      <x:c r="B86" s="30" t="str">
        <x:v>公用工程</x:v>
      </x:c>
      <x:c r="C86" s="30" t="str">
        <x:v>制冷机组/冷水机</x:v>
      </x:c>
      <x:c r="D86" s="30" t="str">
        <x:v>联锁和高低压保护是否有效</x:v>
      </x:c>
      <x:c r="E86" s="30" t="str">
        <x:v>核对报警和测试记录</x:v>
      </x:c>
      <x:c r="F86" s="30" t="str">
        <x:v>保护投入，无未授权旁路</x:v>
      </x:c>
      <x:c r="G86" s="30" t="str">
        <x:v>超压和设备损坏</x:v>
      </x:c>
      <x:c r="H86" s="30" t="str">
        <x:v>停止使用并恢复保护</x:v>
      </x:c>
      <x:c r="I86" s="30" t="str">
        <x:v>每班状态+定期测试</x:v>
      </x:c>
      <x:c r="J86" s="30" t="str">
        <x:v>操作人员/设备人员</x:v>
      </x:c>
    </x:row>
    <x:row r="87" ht="72" customHeight="1">
      <x:c r="A87" s="30" t="n">
        <x:v>83</x:v>
      </x:c>
      <x:c r="B87" s="30" t="str">
        <x:v>反应/配料设备</x:v>
      </x:c>
      <x:c r="C87" s="30" t="str">
        <x:v>常压搅拌槽</x:v>
      </x:c>
      <x:c r="D87" s="30" t="str">
        <x:v>搅拌转速电流是否稳定</x:v>
      </x:c>
      <x:c r="E87" s="30" t="str">
        <x:v>查看转速、电流和声音</x:v>
      </x:c>
      <x:c r="F87" s="30" t="str">
        <x:v>无过载、振动和异响</x:v>
      </x:c>
      <x:c r="G87" s="30" t="str">
        <x:v>叶片脱落、局部浓度不均</x:v>
      </x:c>
      <x:c r="H87" s="30" t="str">
        <x:v>停止加料/搅拌并检查</x:v>
      </x:c>
      <x:c r="I87" s="30" t="str">
        <x:v>每班</x:v>
      </x:c>
      <x:c r="J87" s="30" t="str">
        <x:v>操作人员/设备人员</x:v>
      </x:c>
    </x:row>
    <x:row r="88" ht="72" customHeight="1">
      <x:c r="A88" s="30" t="n">
        <x:v>84</x:v>
      </x:c>
      <x:c r="B88" s="30" t="str">
        <x:v>反应/配料设备</x:v>
      </x:c>
      <x:c r="C88" s="30" t="str">
        <x:v>常压搅拌槽</x:v>
      </x:c>
      <x:c r="D88" s="30" t="str">
        <x:v>液位是否在安全范围</x:v>
      </x:c>
      <x:c r="E88" s="30" t="str">
        <x:v>查看液位计和防溢措施</x:v>
      </x:c>
      <x:c r="F88" s="30" t="str">
        <x:v>不超过最高工作液位</x:v>
      </x:c>
      <x:c r="G88" s="30" t="str">
        <x:v>溢流和人员暴露</x:v>
      </x:c>
      <x:c r="H88" s="30" t="str">
        <x:v>停止进料并转移多余物料</x:v>
      </x:c>
      <x:c r="I88" s="30" t="str">
        <x:v>每班</x:v>
      </x:c>
      <x:c r="J88" s="30" t="str">
        <x:v>操作人员/设备人员</x:v>
      </x:c>
    </x:row>
    <x:row r="89" ht="72" customHeight="1">
      <x:c r="A89" s="30" t="n">
        <x:v>85</x:v>
      </x:c>
      <x:c r="B89" s="30" t="str">
        <x:v>反应/配料设备</x:v>
      </x:c>
      <x:c r="C89" s="30" t="str">
        <x:v>常压搅拌槽</x:v>
      </x:c>
      <x:c r="D89" s="30" t="str">
        <x:v>投料顺序和物料标识是否正确</x:v>
      </x:c>
      <x:c r="E89" s="30" t="str">
        <x:v>核对标签、批记录和双人确认</x:v>
      </x:c>
      <x:c r="F89" s="30" t="str">
        <x:v>名称、批次、顺序正确</x:v>
      </x:c>
      <x:c r="G89" s="30" t="str">
        <x:v>混料反应和有毒气体释放</x:v>
      </x:c>
      <x:c r="H89" s="30" t="str">
        <x:v>停止投料，隔离并技术评估</x:v>
      </x:c>
      <x:c r="I89" s="30" t="str">
        <x:v>每批</x:v>
      </x:c>
      <x:c r="J89" s="30" t="str">
        <x:v>操作人员/设备人员</x:v>
      </x:c>
    </x:row>
    <x:row r="90" ht="72" customHeight="1">
      <x:c r="A90" s="30" t="n">
        <x:v>86</x:v>
      </x:c>
      <x:c r="B90" s="30" t="str">
        <x:v>反应/配料设备</x:v>
      </x:c>
      <x:c r="C90" s="30" t="str">
        <x:v>常压搅拌槽</x:v>
      </x:c>
      <x:c r="D90" s="30" t="str">
        <x:v>通风/集气罩是否正常</x:v>
      </x:c>
      <x:c r="E90" s="30" t="str">
        <x:v>观察抽风、压差和风机</x:v>
      </x:c>
      <x:c r="F90" s="30" t="str">
        <x:v>保持有效负压和处理能力</x:v>
      </x:c>
      <x:c r="G90" s="30" t="str">
        <x:v>蒸气扩散和职业暴露</x:v>
      </x:c>
      <x:c r="H90" s="30" t="str">
        <x:v>停止产生蒸气的操作，修复通风</x:v>
      </x:c>
      <x:c r="I90" s="30" t="str">
        <x:v>每班</x:v>
      </x:c>
      <x:c r="J90" s="30" t="str">
        <x:v>操作人员/设备人员</x:v>
      </x:c>
    </x:row>
    <x:row r="91" ht="72" customHeight="1">
      <x:c r="A91" s="30" t="n">
        <x:v>87</x:v>
      </x:c>
      <x:c r="B91" s="30" t="str">
        <x:v>反应/配料设备</x:v>
      </x:c>
      <x:c r="C91" s="30" t="str">
        <x:v>常压搅拌槽</x:v>
      </x:c>
      <x:c r="D91" s="30" t="str">
        <x:v>槽体阀门和密封是否泄漏</x:v>
      </x:c>
      <x:c r="E91" s="30" t="str">
        <x:v>目视和检测</x:v>
      </x:c>
      <x:c r="F91" s="30" t="str">
        <x:v>无泄漏</x:v>
      </x:c>
      <x:c r="G91" s="30" t="str">
        <x:v>灼伤、滑倒、污染</x:v>
      </x:c>
      <x:c r="H91" s="30" t="str">
        <x:v>围堵、隔离、收集</x:v>
      </x:c>
      <x:c r="I91" s="30" t="str">
        <x:v>每班</x:v>
      </x:c>
      <x:c r="J91" s="30" t="str">
        <x:v>操作人员/设备人员</x:v>
      </x:c>
    </x:row>
    <x:row r="92" ht="72" customHeight="1">
      <x:c r="A92" s="30" t="n">
        <x:v>88</x:v>
      </x:c>
      <x:c r="B92" s="30" t="str">
        <x:v>环保设备</x:v>
      </x:c>
      <x:c r="C92" s="30" t="str">
        <x:v>尾气吸收塔/洗涤塔</x:v>
      </x:c>
      <x:c r="D92" s="30" t="str">
        <x:v>循环液流量是否正常</x:v>
      </x:c>
      <x:c r="E92" s="30" t="str">
        <x:v>查看流量、泵和喷淋压力</x:v>
      </x:c>
      <x:c r="F92" s="30" t="str">
        <x:v>达到设计最低流量</x:v>
      </x:c>
      <x:c r="G92" s="30" t="str">
        <x:v>尾气未经处理排放</x:v>
      </x:c>
      <x:c r="H92" s="30" t="str">
        <x:v>启动备用泵，降低或停止产气工序</x:v>
      </x:c>
      <x:c r="I92" s="30" t="str">
        <x:v>每班/连续</x:v>
      </x:c>
      <x:c r="J92" s="30" t="str">
        <x:v>操作人员/设备人员</x:v>
      </x:c>
    </x:row>
    <x:row r="93" ht="72" customHeight="1">
      <x:c r="A93" s="30" t="n">
        <x:v>89</x:v>
      </x:c>
      <x:c r="B93" s="30" t="str">
        <x:v>环保设备</x:v>
      </x:c>
      <x:c r="C93" s="30" t="str">
        <x:v>尾气吸收塔/洗涤塔</x:v>
      </x:c>
      <x:c r="D93" s="30" t="str">
        <x:v>吸收液pH/浓度是否合格</x:v>
      </x:c>
      <x:c r="E93" s="30" t="str">
        <x:v>在线/人工检测pH或有效成分</x:v>
      </x:c>
      <x:c r="F93" s="30" t="str">
        <x:v>在控制范围内</x:v>
      </x:c>
      <x:c r="G93" s="30" t="str">
        <x:v>吸收失效或副反应</x:v>
      </x:c>
      <x:c r="H93" s="30" t="str">
        <x:v>补加药剂或更换吸收液</x:v>
      </x:c>
      <x:c r="I93" s="30" t="str">
        <x:v>每班</x:v>
      </x:c>
      <x:c r="J93" s="30" t="str">
        <x:v>操作人员/设备人员</x:v>
      </x:c>
    </x:row>
    <x:row r="94" ht="72" customHeight="1">
      <x:c r="A94" s="30" t="n">
        <x:v>90</x:v>
      </x:c>
      <x:c r="B94" s="30" t="str">
        <x:v>环保设备</x:v>
      </x:c>
      <x:c r="C94" s="30" t="str">
        <x:v>尾气吸收塔/洗涤塔</x:v>
      </x:c>
      <x:c r="D94" s="30" t="str">
        <x:v>塔压差是否异常</x:v>
      </x:c>
      <x:c r="E94" s="30" t="str">
        <x:v>查看压差趋势</x:v>
      </x:c>
      <x:c r="F94" s="30" t="str">
        <x:v>压差稳定，无堵塞液泛</x:v>
      </x:c>
      <x:c r="G94" s="30" t="str">
        <x:v>塔内堵塞、气体外逸</x:v>
      </x:c>
      <x:c r="H94" s="30" t="str">
        <x:v>降低气量，清洗填料/除雾器</x:v>
      </x:c>
      <x:c r="I94" s="30" t="str">
        <x:v>每班</x:v>
      </x:c>
      <x:c r="J94" s="30" t="str">
        <x:v>操作人员/设备人员</x:v>
      </x:c>
    </x:row>
    <x:row r="95" ht="72" customHeight="1">
      <x:c r="A95" s="30" t="n">
        <x:v>91</x:v>
      </x:c>
      <x:c r="B95" s="30" t="str">
        <x:v>环保设备</x:v>
      </x:c>
      <x:c r="C95" s="30" t="str">
        <x:v>尾气吸收塔/洗涤塔</x:v>
      </x:c>
      <x:c r="D95" s="30" t="str">
        <x:v>备用尾气系统是否可用</x:v>
      </x:c>
      <x:c r="E95" s="30" t="str">
        <x:v>检查备用风机、阀位和联锁</x:v>
      </x:c>
      <x:c r="F95" s="30" t="str">
        <x:v>故障时能自动/远程切换</x:v>
      </x:c>
      <x:c r="G95" s="30" t="str">
        <x:v>有毒气体直接排放</x:v>
      </x:c>
      <x:c r="H95" s="30" t="str">
        <x:v>停止相关生产，恢复备用系统</x:v>
      </x:c>
      <x:c r="I95" s="30" t="str">
        <x:v>每日/开车前</x:v>
      </x:c>
      <x:c r="J95" s="30" t="str">
        <x:v>操作人员/设备人员</x:v>
      </x:c>
    </x:row>
    <x:row r="96" ht="72" customHeight="1">
      <x:c r="A96" s="30" t="n">
        <x:v>92</x:v>
      </x:c>
      <x:c r="B96" s="30" t="str">
        <x:v>环保设备</x:v>
      </x:c>
      <x:c r="C96" s="30" t="str">
        <x:v>尾气吸收塔/洗涤塔</x:v>
      </x:c>
      <x:c r="D96" s="30" t="str">
        <x:v>循环槽液位和泄漏是否正常</x:v>
      </x:c>
      <x:c r="E96" s="30" t="str">
        <x:v>检查液位、泵密封和围堰</x:v>
      </x:c>
      <x:c r="F96" s="30" t="str">
        <x:v>液位正常，无泄漏</x:v>
      </x:c>
      <x:c r="G96" s="30" t="str">
        <x:v>泵空转、腐蚀液泄漏</x:v>
      </x:c>
      <x:c r="H96" s="30" t="str">
        <x:v>补液/停泵、围堵处理</x:v>
      </x:c>
      <x:c r="I96" s="30" t="str">
        <x:v>每班</x:v>
      </x:c>
      <x:c r="J96" s="30" t="str">
        <x:v>操作人员/设备人员</x:v>
      </x:c>
    </x:row>
    <x:row r="97" ht="72" customHeight="1">
      <x:c r="A97" s="30" t="n">
        <x:v>93</x:v>
      </x:c>
      <x:c r="B97" s="30" t="str">
        <x:v>固体处理设备</x:v>
      </x:c>
      <x:c r="C97" s="30" t="str">
        <x:v>粉碎机/筛分机</x:v>
      </x:c>
      <x:c r="D97" s="30" t="str">
        <x:v>粉尘是否积聚</x:v>
      </x:c>
      <x:c r="E97" s="30" t="str">
        <x:v>检查设备、梁架、地面和除尘器</x:v>
      </x:c>
      <x:c r="F97" s="30" t="str">
        <x:v>无可见厚积尘</x:v>
      </x:c>
      <x:c r="G97" s="30" t="str">
        <x:v>粉尘爆炸和二次爆炸</x:v>
      </x:c>
      <x:c r="H97" s="30" t="str">
        <x:v>停机使用防爆吸尘器清理</x:v>
      </x:c>
      <x:c r="I97" s="30" t="str">
        <x:v>每班</x:v>
      </x:c>
      <x:c r="J97" s="30" t="str">
        <x:v>操作人员/设备人员</x:v>
      </x:c>
    </x:row>
    <x:row r="98" ht="72" customHeight="1">
      <x:c r="A98" s="30" t="n">
        <x:v>94</x:v>
      </x:c>
      <x:c r="B98" s="30" t="str">
        <x:v>固体处理设备</x:v>
      </x:c>
      <x:c r="C98" s="30" t="str">
        <x:v>粉碎机/筛分机</x:v>
      </x:c>
      <x:c r="D98" s="30" t="str">
        <x:v>除尘系统是否正常</x:v>
      </x:c>
      <x:c r="E98" s="30" t="str">
        <x:v>查看压差、风量、脉冲清灰和泄爆</x:v>
      </x:c>
      <x:c r="F98" s="30" t="str">
        <x:v>风量足够，压差正常，泄爆口无遮挡</x:v>
      </x:c>
      <x:c r="G98" s="30" t="str">
        <x:v>粉尘逸散和爆炸</x:v>
      </x:c>
      <x:c r="H98" s="30" t="str">
        <x:v>停止进料并修复除尘</x:v>
      </x:c>
      <x:c r="I98" s="30" t="str">
        <x:v>每班</x:v>
      </x:c>
      <x:c r="J98" s="30" t="str">
        <x:v>操作人员/设备人员</x:v>
      </x:c>
    </x:row>
    <x:row r="99" ht="72" customHeight="1">
      <x:c r="A99" s="30" t="n">
        <x:v>95</x:v>
      </x:c>
      <x:c r="B99" s="30" t="str">
        <x:v>固体处理设备</x:v>
      </x:c>
      <x:c r="C99" s="30" t="str">
        <x:v>粉碎机/筛分机</x:v>
      </x:c>
      <x:c r="D99" s="30" t="str">
        <x:v>轴承温度和摩擦火花是否异常</x:v>
      </x:c>
      <x:c r="E99" s="30" t="str">
        <x:v>查看温度、振动和异响</x:v>
      </x:c>
      <x:c r="F99" s="30" t="str">
        <x:v>温度稳定，无金属摩擦</x:v>
      </x:c>
      <x:c r="G99" s="30" t="str">
        <x:v>点燃粉尘云</x:v>
      </x:c>
      <x:c r="H99" s="30" t="str">
        <x:v>立即停机检查</x:v>
      </x:c>
      <x:c r="I99" s="30" t="str">
        <x:v>连续/每班</x:v>
      </x:c>
      <x:c r="J99" s="30" t="str">
        <x:v>操作人员/设备人员</x:v>
      </x:c>
    </x:row>
    <x:row r="100" ht="72" customHeight="1">
      <x:c r="A100" s="30" t="n">
        <x:v>96</x:v>
      </x:c>
      <x:c r="B100" s="30" t="str">
        <x:v>固体处理设备</x:v>
      </x:c>
      <x:c r="C100" s="30" t="str">
        <x:v>粉碎机/筛分机</x:v>
      </x:c>
      <x:c r="D100" s="30" t="str">
        <x:v>防爆隔离和泄爆装置是否完好</x:v>
      </x:c>
      <x:c r="E100" s="30" t="str">
        <x:v>检查隔爆阀、泄爆片和导向</x:v>
      </x:c>
      <x:c r="F100" s="30" t="str">
        <x:v>装置有效且无阻挡</x:v>
      </x:c>
      <x:c r="G100" s="30" t="str">
        <x:v>爆炸传播至其他设备</x:v>
      </x:c>
      <x:c r="H100" s="30" t="str">
        <x:v>停止使用并维修</x:v>
      </x:c>
      <x:c r="I100" s="30" t="str">
        <x:v>每日外观+定检</x:v>
      </x:c>
      <x:c r="J100" s="30" t="str">
        <x:v>操作人员/设备人员</x:v>
      </x:c>
    </x:row>
    <x:row r="101" ht="72" customHeight="1">
      <x:c r="A101" s="30" t="n">
        <x:v>97</x:v>
      </x:c>
      <x:c r="B101" s="30" t="str">
        <x:v>固体处理设备</x:v>
      </x:c>
      <x:c r="C101" s="30" t="str">
        <x:v>粉碎机/筛分机</x:v>
      </x:c>
      <x:c r="D101" s="30" t="str">
        <x:v>磁选/除铁装置是否有效</x:v>
      </x:c>
      <x:c r="E101" s="30" t="str">
        <x:v>检查捕获物和清理记录</x:v>
      </x:c>
      <x:c r="F101" s="30" t="str">
        <x:v>能有效去除金属异物</x:v>
      </x:c>
      <x:c r="G101" s="30" t="str">
        <x:v>撞击火花和设备损坏</x:v>
      </x:c>
      <x:c r="H101" s="30" t="str">
        <x:v>停止进料并清理检查</x:v>
      </x:c>
      <x:c r="I101" s="30" t="str">
        <x:v>每班</x:v>
      </x:c>
      <x:c r="J101" s="30" t="str">
        <x:v>操作人员/设备人员</x:v>
      </x:c>
    </x:row>
    <x:row r="102" ht="72" customHeight="1">
      <x:c r="A102" s="30" t="n">
        <x:v>98</x:v>
      </x:c>
      <x:c r="B102" s="30" t="str">
        <x:v>储存设备</x:v>
      </x:c>
      <x:c r="C102" s="30" t="str">
        <x:v>工业气瓶</x:v>
      </x:c>
      <x:c r="D102" s="30" t="str">
        <x:v>气瓶颜色、标签和介质是否一致</x:v>
      </x:c>
      <x:c r="E102" s="30" t="str">
        <x:v>核对标签、合格证和管线标识</x:v>
      </x:c>
      <x:c r="F102" s="30" t="str">
        <x:v>介质明确，禁止仅凭颜色判断</x:v>
      </x:c>
      <x:c r="G102" s="30" t="str">
        <x:v>误接导致反应或中毒</x:v>
      </x:c>
      <x:c r="H102" s="30" t="str">
        <x:v>隔离不明气瓶，联系供应商</x:v>
      </x:c>
      <x:c r="I102" s="30" t="str">
        <x:v>每次使用</x:v>
      </x:c>
      <x:c r="J102" s="30" t="str">
        <x:v>操作人员/设备人员</x:v>
      </x:c>
    </x:row>
    <x:row r="103" ht="72" customHeight="1">
      <x:c r="A103" s="30" t="n">
        <x:v>99</x:v>
      </x:c>
      <x:c r="B103" s="30" t="str">
        <x:v>储存设备</x:v>
      </x:c>
      <x:c r="C103" s="30" t="str">
        <x:v>工业气瓶</x:v>
      </x:c>
      <x:c r="D103" s="30" t="str">
        <x:v>检验日期和瓶体状态是否合格</x:v>
      </x:c>
      <x:c r="E103" s="30" t="str">
        <x:v>检查钢印、检验环、腐蚀凹陷和阀门</x:v>
      </x:c>
      <x:c r="F103" s="30" t="str">
        <x:v>在检验期，无严重腐蚀损伤</x:v>
      </x:c>
      <x:c r="G103" s="30" t="str">
        <x:v>瓶体破裂和阀门飞出</x:v>
      </x:c>
      <x:c r="H103" s="30" t="str">
        <x:v>停止使用并退回检验</x:v>
      </x:c>
      <x:c r="I103" s="30" t="str">
        <x:v>每次使用</x:v>
      </x:c>
      <x:c r="J103" s="30" t="str">
        <x:v>操作人员/设备人员</x:v>
      </x:c>
    </x:row>
    <x:row r="104" ht="72" customHeight="1">
      <x:c r="A104" s="30" t="n">
        <x:v>100</x:v>
      </x:c>
      <x:c r="B104" s="30" t="str">
        <x:v>储存设备</x:v>
      </x:c>
      <x:c r="C104" s="30" t="str">
        <x:v>工业气瓶</x:v>
      </x:c>
      <x:c r="D104" s="30" t="str">
        <x:v>是否直立固定并戴瓶帽</x:v>
      </x:c>
      <x:c r="E104" s="30" t="str">
        <x:v>检查链条、支架和瓶帽</x:v>
      </x:c>
      <x:c r="F104" s="30" t="str">
        <x:v>直立固定，备用瓶有瓶帽</x:v>
      </x:c>
      <x:c r="G104" s="30" t="str">
        <x:v>倾倒、阀门折断</x:v>
      </x:c>
      <x:c r="H104" s="30" t="str">
        <x:v>立即固定并隔离通道</x:v>
      </x:c>
      <x:c r="I104" s="30" t="str">
        <x:v>每日</x:v>
      </x:c>
      <x:c r="J104" s="30" t="str">
        <x:v>操作人员/设备人员</x:v>
      </x:c>
    </x:row>
    <x:row r="105" ht="72" customHeight="1">
      <x:c r="A105" s="30" t="n">
        <x:v>101</x:v>
      </x:c>
      <x:c r="B105" s="30" t="str">
        <x:v>储存设备</x:v>
      </x:c>
      <x:c r="C105" s="30" t="str">
        <x:v>工业气瓶</x:v>
      </x:c>
      <x:c r="D105" s="30" t="str">
        <x:v>氧化性气体与可燃气体是否分开</x:v>
      </x:c>
      <x:c r="E105" s="30" t="str">
        <x:v>检查储存分区和安全距离/隔墙</x:v>
      </x:c>
      <x:c r="F105" s="30" t="str">
        <x:v>分类隔离，无油脂污染</x:v>
      </x:c>
      <x:c r="G105" s="30" t="str">
        <x:v>火灾爆炸</x:v>
      </x:c>
      <x:c r="H105" s="30" t="str">
        <x:v>重新分区，清除油污</x:v>
      </x:c>
      <x:c r="I105" s="30" t="str">
        <x:v>每日</x:v>
      </x:c>
      <x:c r="J105" s="30" t="str">
        <x:v>操作人员/设备人员</x:v>
      </x:c>
    </x:row>
    <x:row r="106" ht="72" customHeight="1">
      <x:c r="A106" s="30" t="n">
        <x:v>102</x:v>
      </x:c>
      <x:c r="B106" s="30" t="str">
        <x:v>储存设备</x:v>
      </x:c>
      <x:c r="C106" s="30" t="str">
        <x:v>工业气瓶</x:v>
      </x:c>
      <x:c r="D106" s="30" t="str">
        <x:v>减压器、软管和防回火装置是否正常</x:v>
      </x:c>
      <x:c r="E106" s="30" t="str">
        <x:v>检漏并检查型号、接口、老化</x:v>
      </x:c>
      <x:c r="F106" s="30" t="str">
        <x:v>专气专用，无泄漏，防回火有效</x:v>
      </x:c>
      <x:c r="G106" s="30" t="str">
        <x:v>回火、泄漏和爆炸</x:v>
      </x:c>
      <x:c r="H106" s="30" t="str">
        <x:v>关闭瓶阀，更换合格附件</x:v>
      </x:c>
      <x:c r="I106" s="30" t="str">
        <x:v>每次使用</x:v>
      </x:c>
      <x:c r="J106" s="30" t="str">
        <x:v>操作人员/设备人员</x:v>
      </x:c>
    </x:row>
    <x:row r="107" ht="72" customHeight="1">
      <x:c r="A107" s="30" t="n">
        <x:v>103</x:v>
      </x:c>
      <x:c r="B107" s="30" t="str">
        <x:v>电气仪表</x:v>
      </x:c>
      <x:c r="C107" s="30" t="str">
        <x:v>防爆电气与仪表系统</x:v>
      </x:c>
      <x:c r="D107" s="30" t="str">
        <x:v>防爆外壳和密封是否完整</x:v>
      </x:c>
      <x:c r="E107" s="30" t="str">
        <x:v>检查壳体、螺栓、电缆密封接头</x:v>
      </x:c>
      <x:c r="F107" s="30" t="str">
        <x:v>无缺螺栓、开孔和破损</x:v>
      </x:c>
      <x:c r="G107" s="30" t="str">
        <x:v>电气火花点燃爆炸性气氛</x:v>
      </x:c>
      <x:c r="H107" s="30" t="str">
        <x:v>断电隔离并由专业人员修复</x:v>
      </x:c>
      <x:c r="I107" s="30" t="str">
        <x:v>每班外观</x:v>
      </x:c>
      <x:c r="J107" s="30" t="str">
        <x:v>操作人员/设备人员</x:v>
      </x:c>
    </x:row>
    <x:row r="108" ht="72" customHeight="1">
      <x:c r="A108" s="30" t="n">
        <x:v>104</x:v>
      </x:c>
      <x:c r="B108" s="30" t="str">
        <x:v>电气仪表</x:v>
      </x:c>
      <x:c r="C108" s="30" t="str">
        <x:v>防爆电气与仪表系统</x:v>
      </x:c>
      <x:c r="D108" s="30" t="str">
        <x:v>报警和联锁是否旁路</x:v>
      </x:c>
      <x:c r="E108" s="30" t="str">
        <x:v>核对DCS旁路清单和审批</x:v>
      </x:c>
      <x:c r="F108" s="30" t="str">
        <x:v>无未经批准旁路，临时旁路有期限和补偿措施</x:v>
      </x:c>
      <x:c r="G108" s="30" t="str">
        <x:v>保护失效</x:v>
      </x:c>
      <x:c r="H108" s="30" t="str">
        <x:v>撤销旁路或停车处理</x:v>
      </x:c>
      <x:c r="I108" s="30" t="str">
        <x:v>每班</x:v>
      </x:c>
      <x:c r="J108" s="30" t="str">
        <x:v>操作人员/设备人员</x:v>
      </x:c>
    </x:row>
    <x:row r="109" ht="72" customHeight="1">
      <x:c r="A109" s="30" t="n">
        <x:v>105</x:v>
      </x:c>
      <x:c r="B109" s="30" t="str">
        <x:v>电气仪表</x:v>
      </x:c>
      <x:c r="C109" s="30" t="str">
        <x:v>防爆电气与仪表系统</x:v>
      </x:c>
      <x:c r="D109" s="30" t="str">
        <x:v>仪表是否在校验有效期</x:v>
      </x:c>
      <x:c r="E109" s="30" t="str">
        <x:v>核对标签和台账</x:v>
      </x:c>
      <x:c r="F109" s="30" t="str">
        <x:v>关键仪表校验有效</x:v>
      </x:c>
      <x:c r="G109" s="30" t="str">
        <x:v>测量偏差导致误操作</x:v>
      </x:c>
      <x:c r="H109" s="30" t="str">
        <x:v>安排校验并采取替代监测</x:v>
      </x:c>
      <x:c r="I109" s="30" t="str">
        <x:v>每月台账</x:v>
      </x:c>
      <x:c r="J109" s="30" t="str">
        <x:v>操作人员/设备人员</x:v>
      </x:c>
    </x:row>
    <x:row r="110" ht="72" customHeight="1">
      <x:c r="A110" s="30" t="n">
        <x:v>106</x:v>
      </x:c>
      <x:c r="B110" s="30" t="str">
        <x:v>电气仪表</x:v>
      </x:c>
      <x:c r="C110" s="30" t="str">
        <x:v>防爆电气与仪表系统</x:v>
      </x:c>
      <x:c r="D110" s="30" t="str">
        <x:v>UPS和应急电源是否可用</x:v>
      </x:c>
      <x:c r="E110" s="30" t="str">
        <x:v>查看状态、故障报警和试验记录</x:v>
      </x:c>
      <x:c r="F110" s="30" t="str">
        <x:v>备用电源可自动投入</x:v>
      </x:c>
      <x:c r="G110" s="30" t="str">
        <x:v>停电时控制和安全系统失效</x:v>
      </x:c>
      <x:c r="H110" s="30" t="str">
        <x:v>限制运行并修复备用电源</x:v>
      </x:c>
      <x:c r="I110" s="30" t="str">
        <x:v>每日状态/定期试验</x:v>
      </x:c>
      <x:c r="J110" s="30" t="str">
        <x:v>操作人员/设备人员</x:v>
      </x:c>
    </x:row>
    <x:row r="111" ht="72" customHeight="1">
      <x:c r="A111" s="30" t="n">
        <x:v>107</x:v>
      </x:c>
      <x:c r="B111" s="30" t="str">
        <x:v>电气仪表</x:v>
      </x:c>
      <x:c r="C111" s="30" t="str">
        <x:v>防爆电气与仪表系统</x:v>
      </x:c>
      <x:c r="D111" s="30" t="str">
        <x:v>接地和等电位连接是否可靠</x:v>
      </x:c>
      <x:c r="E111" s="30" t="str">
        <x:v>检查连接及检测报告</x:v>
      </x:c>
      <x:c r="F111" s="30" t="str">
        <x:v>接地连续有效</x:v>
      </x:c>
      <x:c r="G111" s="30" t="str">
        <x:v>触电和静电点火</x:v>
      </x:c>
      <x:c r="H111" s="30" t="str">
        <x:v>停止相关作业并修复</x:v>
      </x:c>
      <x:c r="I111" s="30" t="str">
        <x:v>每月/定期检测</x:v>
      </x:c>
      <x:c r="J111" s="30" t="str">
        <x:v>操作人员/设备人员</x:v>
      </x:c>
    </x:row>
  </x:sheetData>
  <x:mergeCells>
    <x:mergeCell ref="A1:J1"/>
    <x:mergeCell ref="A2:J2"/>
  </x:mergeCells>
  <x:conditionalFormatting sqref="G5:G111">
    <x:cfRule type="expression" dxfId="0" priority="1">
      <x:formula>OR(ISNUMBER(SEARCH("爆炸",G5)),ISNUMBER(SEARCH("中毒",G5)),ISNUMBER(SEARCH("失控",G5)),ISNUMBER(SEARCH("破裂",G5)))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946115c8f8449c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2" hidden="0" customWidth="1"/>
    <x:col min="3" max="3" width="14" hidden="0" customWidth="1"/>
    <x:col min="4" max="4" width="27" hidden="0" customWidth="1"/>
    <x:col min="5" max="5" width="34" hidden="0" customWidth="1"/>
    <x:col min="6" max="6" width="34" hidden="0" customWidth="1"/>
    <x:col min="7" max="7" width="12" hidden="0" customWidth="1"/>
    <x:col min="8" max="8" width="22" hidden="0" customWidth="1"/>
    <x:col min="9" max="9" width="25" hidden="0" customWidth="1"/>
    <x:col min="10" max="10" width="30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20" hidden="0" customWidth="1"/>
    <x:col min="17" max="17" width="15" hidden="0" customWidth="1"/>
    <x:col min="18" max="18" width="12" hidden="0" customWidth="1"/>
  </x:cols>
  <x:sheetData>
    <x:row r="1">
      <x:c r="A1" s="5" t="str">
        <x:v>化工设备现场安全巡检记录表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>
      <x:c r="A2" s="42" t="str">
        <x:v>巡检日期</x:v>
      </x:c>
      <x:c r="B2" s="55" t="n">
        <x:v>46216</x:v>
      </x:c>
      <x:c r="D2" s="42" t="str">
        <x:v>班次</x:v>
      </x:c>
      <x:c r="E2" s="59" t="str">
        <x:v>白班</x:v>
      </x:c>
      <x:c r="G2" s="42" t="str">
        <x:v>区域/装置</x:v>
      </x:c>
      <x:c r="H2" s="59" t="str"/>
      <x:c r="J2" s="42" t="str">
        <x:v>巡检人员</x:v>
      </x:c>
      <x:c r="K2" s="59" t="str"/>
      <x:c r="M2" s="42" t="str">
        <x:v>负责人</x:v>
      </x:c>
      <x:c r="N2" s="59" t="str"/>
      <x:c r="Q2" s="22" t="str">
        <x:v>巡检统计</x:v>
      </x:c>
      <x:c r="R2" s="22" t="str">
        <x:v>数量</x:v>
      </x:c>
    </x:row>
    <x:row r="3">
      <x:c r="Q3" s="42" t="str">
        <x:v>已检查</x:v>
      </x:c>
      <x:c r="R3" s="66" t="n">
        <x:f>COUNTIF(G5:G64,"正常")+COUNTIF(G5:G64,"异常")+COUNTIF(G5:G64,"不适用")+COUNTIF(G5:G64,"待复核")</x:f>
        <x:v>0</x:v>
      </x:c>
    </x:row>
    <x:row r="4">
      <x:c r="A4" s="22" t="str">
        <x:v>序号</x:v>
      </x:c>
      <x:c r="B4" s="22" t="str">
        <x:v>设备名称</x:v>
      </x:c>
      <x:c r="C4" s="22" t="str">
        <x:v>设备位号</x:v>
      </x:c>
      <x:c r="D4" s="22" t="str">
        <x:v>检查项目</x:v>
      </x:c>
      <x:c r="E4" s="22" t="str">
        <x:v>检查方法/观察点</x:v>
      </x:c>
      <x:c r="F4" s="22" t="str">
        <x:v>正常标准或工艺限值</x:v>
      </x:c>
      <x:c r="G4" s="22" t="str">
        <x:v>检查结果</x:v>
      </x:c>
      <x:c r="H4" s="22" t="str">
        <x:v>实测值/现场情况</x:v>
      </x:c>
      <x:c r="I4" s="22" t="str">
        <x:v>异常描述</x:v>
      </x:c>
      <x:c r="J4" s="22" t="str">
        <x:v>立即采取的措施</x:v>
      </x:c>
      <x:c r="K4" s="22" t="str">
        <x:v>整改责任人</x:v>
      </x:c>
      <x:c r="L4" s="22" t="str">
        <x:v>整改期限</x:v>
      </x:c>
      <x:c r="M4" s="22" t="str">
        <x:v>复查结果</x:v>
      </x:c>
      <x:c r="N4" s="22" t="str">
        <x:v>复查人</x:v>
      </x:c>
      <x:c r="O4" s="22" t="str">
        <x:v>备注</x:v>
      </x:c>
      <x:c r="Q4" s="42" t="str">
        <x:v>正常</x:v>
      </x:c>
      <x:c r="R4" s="66" t="n">
        <x:f>COUNTIF(G5:G64,"正常")</x:f>
        <x:v>0</x:v>
      </x:c>
    </x:row>
    <x:row r="5" ht="55" customHeight="1">
      <x:c r="A5" s="30" t="n">
        <x:v>1</x:v>
      </x:c>
      <x:c r="B5" s="30" t="str">
        <x:v>反应釜</x:v>
      </x:c>
      <x:c r="C5" s="30" t="str"/>
      <x:c r="D5" s="30" t="str">
        <x:v>温度是否超过安全范围</x:v>
      </x:c>
      <x:c r="E5" s="30" t="str">
        <x:v>查看温度显示和趋势</x:v>
      </x:c>
      <x:c r="F5" s="30" t="str">
        <x:v>应填写本设备批准的温度范围</x:v>
      </x:c>
      <x:c r="G5" s="30" t="str"/>
      <x:c r="H5" s="30" t="str"/>
      <x:c r="I5" s="30" t="str"/>
      <x:c r="J5" s="30" t="str"/>
      <x:c r="K5" s="30" t="str"/>
      <x:c r="L5" s="64" t="str"/>
      <x:c r="M5" s="30" t="str"/>
      <x:c r="N5" s="30" t="str"/>
      <x:c r="O5" s="30" t="str"/>
      <x:c r="Q5" s="42" t="str">
        <x:v>异常</x:v>
      </x:c>
      <x:c r="R5" s="66" t="n">
        <x:f>COUNTIF(G5:G64,"异常")</x:f>
        <x:v>0</x:v>
      </x:c>
    </x:row>
    <x:row r="6" ht="55" customHeight="1">
      <x:c r="A6" s="30" t="n">
        <x:v>2</x:v>
      </x:c>
      <x:c r="B6" s="30" t="str">
        <x:v>反应釜</x:v>
      </x:c>
      <x:c r="C6" s="30" t="str"/>
      <x:c r="D6" s="30" t="str">
        <x:v>压力是否异常</x:v>
      </x:c>
      <x:c r="E6" s="30" t="str">
        <x:v>查看压力表和趋势</x:v>
      </x:c>
      <x:c r="F6" s="30" t="str">
        <x:v>应填写本设备最大允许/工艺压力</x:v>
      </x:c>
      <x:c r="G6" s="30" t="str"/>
      <x:c r="H6" s="30" t="str"/>
      <x:c r="I6" s="30" t="str"/>
      <x:c r="J6" s="30" t="str"/>
      <x:c r="K6" s="30" t="str"/>
      <x:c r="L6" s="64" t="str"/>
      <x:c r="M6" s="30" t="str"/>
      <x:c r="N6" s="30" t="str"/>
      <x:c r="O6" s="30" t="str"/>
      <x:c r="Q6" s="42" t="str">
        <x:v>待复核</x:v>
      </x:c>
      <x:c r="R6" s="66" t="n">
        <x:f>COUNTIF(G5:G64,"待复核")</x:f>
        <x:v>0</x:v>
      </x:c>
    </x:row>
    <x:row r="7" ht="55" customHeight="1">
      <x:c r="A7" s="30" t="n">
        <x:v>3</x:v>
      </x:c>
      <x:c r="B7" s="30" t="str">
        <x:v>反应釜</x:v>
      </x:c>
      <x:c r="C7" s="30" t="str"/>
      <x:c r="D7" s="30" t="str">
        <x:v>冷却系统是否正常</x:v>
      </x:c>
      <x:c r="E7" s="30" t="str">
        <x:v>查流量、温差、泵和阀位</x:v>
      </x:c>
      <x:c r="F7" s="30" t="str">
        <x:v>冷却流量、温差符合工艺要求</x:v>
      </x:c>
      <x:c r="G7" s="30" t="str"/>
      <x:c r="H7" s="30" t="str"/>
      <x:c r="I7" s="30" t="str"/>
      <x:c r="J7" s="30" t="str"/>
      <x:c r="K7" s="30" t="str"/>
      <x:c r="L7" s="64" t="str"/>
      <x:c r="M7" s="30" t="str"/>
      <x:c r="N7" s="30" t="str"/>
      <x:c r="O7" s="30" t="str"/>
    </x:row>
    <x:row r="8" ht="55" customHeight="1">
      <x:c r="A8" s="30" t="n">
        <x:v>4</x:v>
      </x:c>
      <x:c r="B8" s="30" t="str">
        <x:v>反应釜</x:v>
      </x:c>
      <x:c r="C8" s="30" t="str"/>
      <x:c r="D8" s="30" t="str">
        <x:v>搅拌装置是否运行</x:v>
      </x:c>
      <x:c r="E8" s="30" t="str">
        <x:v>查转速、电流、振动和密封</x:v>
      </x:c>
      <x:c r="F8" s="30" t="str">
        <x:v>运行平稳，无异响和泄漏</x:v>
      </x:c>
      <x:c r="G8" s="30" t="str"/>
      <x:c r="H8" s="30" t="str"/>
      <x:c r="I8" s="30" t="str"/>
      <x:c r="J8" s="30" t="str"/>
      <x:c r="K8" s="30" t="str"/>
      <x:c r="L8" s="64" t="str"/>
      <x:c r="M8" s="30" t="str"/>
      <x:c r="N8" s="30" t="str"/>
      <x:c r="O8" s="30" t="str"/>
    </x:row>
    <x:row r="9" ht="55" customHeight="1">
      <x:c r="A9" s="30" t="n">
        <x:v>5</x:v>
      </x:c>
      <x:c r="B9" s="30" t="str">
        <x:v>反应釜</x:v>
      </x:c>
      <x:c r="C9" s="30" t="str"/>
      <x:c r="D9" s="30" t="str">
        <x:v>安全阀是否定期检查</x:v>
      </x:c>
      <x:c r="E9" s="30" t="str">
        <x:v>查有效期、铅封、阀位和排放管</x:v>
      </x:c>
      <x:c r="F9" s="30" t="str">
        <x:v>检验有效、铅封完好、阀位正确</x:v>
      </x:c>
      <x:c r="G9" s="30" t="str"/>
      <x:c r="H9" s="30" t="str"/>
      <x:c r="I9" s="30" t="str"/>
      <x:c r="J9" s="30" t="str"/>
      <x:c r="K9" s="30" t="str"/>
      <x:c r="L9" s="64" t="str"/>
      <x:c r="M9" s="30" t="str"/>
      <x:c r="N9" s="30" t="str"/>
      <x:c r="O9" s="30" t="str"/>
    </x:row>
    <x:row r="10" ht="55" customHeight="1">
      <x:c r="A10" s="30" t="n">
        <x:v>6</x:v>
      </x:c>
      <x:c r="B10" s="30" t="str">
        <x:v>反应釜</x:v>
      </x:c>
      <x:c r="C10" s="30" t="str"/>
      <x:c r="D10" s="30" t="str">
        <x:v>是否存在物料泄漏</x:v>
      </x:c>
      <x:c r="E10" s="30" t="str">
        <x:v>查法兰、人孔、密封和底阀</x:v>
      </x:c>
      <x:c r="F10" s="30" t="str">
        <x:v>无滴漏、结晶、异味和报警</x:v>
      </x:c>
      <x:c r="G10" s="30" t="str"/>
      <x:c r="H10" s="30" t="str"/>
      <x:c r="I10" s="30" t="str"/>
      <x:c r="J10" s="30" t="str"/>
      <x:c r="K10" s="30" t="str"/>
      <x:c r="L10" s="64" t="str"/>
      <x:c r="M10" s="30" t="str"/>
      <x:c r="N10" s="30" t="str"/>
      <x:c r="O10" s="30" t="str"/>
    </x:row>
    <x:row r="11" ht="55" customHeight="1">
      <x:c r="A11" s="30" t="n">
        <x:v>7</x:v>
      </x:c>
      <x:c r="B11" s="30" t="str">
        <x:v>反应釜</x:v>
      </x:c>
      <x:c r="C11" s="30" t="str"/>
      <x:c r="D11" s="30" t="str">
        <x:v>操作人员是否佩戴防护用品</x:v>
      </x:c>
      <x:c r="E11" s="30" t="str">
        <x:v>现场核查PPE与SDS要求</x:v>
      </x:c>
      <x:c r="F11" s="30" t="str">
        <x:v>PPE齐全、适配并正确佩戴</x:v>
      </x:c>
      <x:c r="G11" s="30" t="str"/>
      <x:c r="H11" s="30" t="str"/>
      <x:c r="I11" s="30" t="str"/>
      <x:c r="J11" s="30" t="str"/>
      <x:c r="K11" s="30" t="str"/>
      <x:c r="L11" s="64" t="str"/>
      <x:c r="M11" s="30" t="str"/>
      <x:c r="N11" s="30" t="str"/>
      <x:c r="O11" s="30" t="str"/>
    </x:row>
    <x:row r="12" ht="55" customHeight="1">
      <x:c r="A12" s="30" t="n">
        <x:v>8</x:v>
      </x:c>
      <x:c r="B12" s="30" t="str">
        <x:v>反应釜</x:v>
      </x:c>
      <x:c r="C12" s="30" t="str"/>
      <x:c r="D12" s="30" t="str">
        <x:v>报警和联锁是否投入</x:v>
      </x:c>
      <x:c r="E12" s="30" t="str">
        <x:v>查DCS报警旁路和联锁状态</x:v>
      </x:c>
      <x:c r="F12" s="30" t="str">
        <x:v>无未经批准旁路</x:v>
      </x:c>
      <x:c r="G12" s="30" t="str"/>
      <x:c r="H12" s="30" t="str"/>
      <x:c r="I12" s="30" t="str"/>
      <x:c r="J12" s="30" t="str"/>
      <x:c r="K12" s="30" t="str"/>
      <x:c r="L12" s="64" t="str"/>
      <x:c r="M12" s="30" t="str"/>
      <x:c r="N12" s="30" t="str"/>
      <x:c r="O12" s="30" t="str"/>
    </x:row>
    <x:row r="13" ht="55" customHeight="1">
      <x:c r="A13" s="30" t="n">
        <x:v>9</x:v>
      </x:c>
      <x:c r="B13" s="30" t="str">
        <x:v>反应釜</x:v>
      </x:c>
      <x:c r="C13" s="30" t="str"/>
      <x:c r="D13" s="30" t="str">
        <x:v>加料顺序和速率是否正确</x:v>
      </x:c>
      <x:c r="E13" s="30" t="str">
        <x:v>核对批记录、流量和阀位</x:v>
      </x:c>
      <x:c r="F13" s="30" t="str">
        <x:v>符合批准工艺</x:v>
      </x:c>
      <x:c r="G13" s="30" t="str"/>
      <x:c r="H13" s="30" t="str"/>
      <x:c r="I13" s="30" t="str"/>
      <x:c r="J13" s="30" t="str"/>
      <x:c r="K13" s="30" t="str"/>
      <x:c r="L13" s="64" t="str"/>
      <x:c r="M13" s="30" t="str"/>
      <x:c r="N13" s="30" t="str"/>
      <x:c r="O13" s="30" t="str"/>
    </x:row>
    <x:row r="14" ht="55" customHeight="1">
      <x:c r="A14" s="30" t="n">
        <x:v>10</x:v>
      </x:c>
      <x:c r="B14" s="30" t="str">
        <x:v>反应釜</x:v>
      </x:c>
      <x:c r="C14" s="30" t="str"/>
      <x:c r="D14" s="30" t="str">
        <x:v>静电接地是否可靠</x:v>
      </x:c>
      <x:c r="E14" s="30" t="str">
        <x:v>查接地线和跨接</x:v>
      </x:c>
      <x:c r="F14" s="30" t="str">
        <x:v>连接牢固、检测合格</x:v>
      </x:c>
      <x:c r="G14" s="30" t="str"/>
      <x:c r="H14" s="30" t="str"/>
      <x:c r="I14" s="30" t="str"/>
      <x:c r="J14" s="30" t="str"/>
      <x:c r="K14" s="30" t="str"/>
      <x:c r="L14" s="64" t="str"/>
      <x:c r="M14" s="30" t="str"/>
      <x:c r="N14" s="30" t="str"/>
      <x:c r="O14" s="30" t="str"/>
    </x:row>
    <x:row r="15" ht="55" customHeight="1">
      <x:c r="A15" s="30" t="n">
        <x:v>11</x:v>
      </x:c>
      <x:c r="B15" s="30" t="str"/>
      <x:c r="C15" s="30" t="str"/>
      <x:c r="D15" s="30" t="str"/>
      <x:c r="E15" s="30" t="str"/>
      <x:c r="F15" s="30" t="str"/>
      <x:c r="G15" s="30" t="str"/>
      <x:c r="H15" s="30" t="str"/>
      <x:c r="I15" s="30" t="str"/>
      <x:c r="J15" s="30" t="str"/>
      <x:c r="K15" s="30" t="str"/>
      <x:c r="L15" s="64" t="str"/>
      <x:c r="M15" s="30" t="str"/>
      <x:c r="N15" s="30" t="str"/>
      <x:c r="O15" s="30" t="str"/>
    </x:row>
    <x:row r="16" ht="55" customHeight="1">
      <x:c r="A16" s="30" t="n">
        <x:v>12</x:v>
      </x:c>
      <x:c r="B16" s="30" t="str"/>
      <x:c r="C16" s="30" t="str"/>
      <x:c r="D16" s="30" t="str"/>
      <x:c r="E16" s="30" t="str"/>
      <x:c r="F16" s="30" t="str"/>
      <x:c r="G16" s="30" t="str"/>
      <x:c r="H16" s="30" t="str"/>
      <x:c r="I16" s="30" t="str"/>
      <x:c r="J16" s="30" t="str"/>
      <x:c r="K16" s="30" t="str"/>
      <x:c r="L16" s="64" t="str"/>
      <x:c r="M16" s="30" t="str"/>
      <x:c r="N16" s="30" t="str"/>
      <x:c r="O16" s="30" t="str"/>
    </x:row>
    <x:row r="17" ht="55" customHeight="1">
      <x:c r="A17" s="30" t="n">
        <x:v>13</x:v>
      </x:c>
      <x:c r="B17" s="30" t="str"/>
      <x:c r="C17" s="30" t="str"/>
      <x:c r="D17" s="30" t="str"/>
      <x:c r="E17" s="30" t="str"/>
      <x:c r="F17" s="30" t="str"/>
      <x:c r="G17" s="30" t="str"/>
      <x:c r="H17" s="30" t="str"/>
      <x:c r="I17" s="30" t="str"/>
      <x:c r="J17" s="30" t="str"/>
      <x:c r="K17" s="30" t="str"/>
      <x:c r="L17" s="64" t="str"/>
      <x:c r="M17" s="30" t="str"/>
      <x:c r="N17" s="30" t="str"/>
      <x:c r="O17" s="30" t="str"/>
    </x:row>
    <x:row r="18" ht="55" customHeight="1">
      <x:c r="A18" s="30" t="n">
        <x:v>14</x:v>
      </x:c>
      <x:c r="B18" s="30" t="str"/>
      <x:c r="C18" s="30" t="str"/>
      <x:c r="D18" s="30" t="str"/>
      <x:c r="E18" s="30" t="str"/>
      <x:c r="F18" s="30" t="str"/>
      <x:c r="G18" s="30" t="str"/>
      <x:c r="H18" s="30" t="str"/>
      <x:c r="I18" s="30" t="str"/>
      <x:c r="J18" s="30" t="str"/>
      <x:c r="K18" s="30" t="str"/>
      <x:c r="L18" s="64" t="str"/>
      <x:c r="M18" s="30" t="str"/>
      <x:c r="N18" s="30" t="str"/>
      <x:c r="O18" s="30" t="str"/>
    </x:row>
    <x:row r="19" ht="55" customHeight="1">
      <x:c r="A19" s="30" t="n">
        <x:v>15</x:v>
      </x:c>
      <x:c r="B19" s="30" t="str"/>
      <x:c r="C19" s="30" t="str"/>
      <x:c r="D19" s="30" t="str"/>
      <x:c r="E19" s="30" t="str"/>
      <x:c r="F19" s="30" t="str"/>
      <x:c r="G19" s="30" t="str"/>
      <x:c r="H19" s="30" t="str"/>
      <x:c r="I19" s="30" t="str"/>
      <x:c r="J19" s="30" t="str"/>
      <x:c r="K19" s="30" t="str"/>
      <x:c r="L19" s="64" t="str"/>
      <x:c r="M19" s="30" t="str"/>
      <x:c r="N19" s="30" t="str"/>
      <x:c r="O19" s="30" t="str"/>
    </x:row>
    <x:row r="20" ht="55" customHeight="1">
      <x:c r="A20" s="30" t="n">
        <x:v>16</x:v>
      </x:c>
      <x:c r="B20" s="30" t="str"/>
      <x:c r="C20" s="30" t="str"/>
      <x:c r="D20" s="30" t="str"/>
      <x:c r="E20" s="30" t="str"/>
      <x:c r="F20" s="30" t="str"/>
      <x:c r="G20" s="30" t="str"/>
      <x:c r="H20" s="30" t="str"/>
      <x:c r="I20" s="30" t="str"/>
      <x:c r="J20" s="30" t="str"/>
      <x:c r="K20" s="30" t="str"/>
      <x:c r="L20" s="64" t="str"/>
      <x:c r="M20" s="30" t="str"/>
      <x:c r="N20" s="30" t="str"/>
      <x:c r="O20" s="30" t="str"/>
    </x:row>
    <x:row r="21" ht="55" customHeight="1">
      <x:c r="A21" s="30" t="n">
        <x:v>17</x:v>
      </x:c>
      <x:c r="B21" s="30" t="str"/>
      <x:c r="C21" s="30" t="str"/>
      <x:c r="D21" s="30" t="str"/>
      <x:c r="E21" s="30" t="str"/>
      <x:c r="F21" s="30" t="str"/>
      <x:c r="G21" s="30" t="str"/>
      <x:c r="H21" s="30" t="str"/>
      <x:c r="I21" s="30" t="str"/>
      <x:c r="J21" s="30" t="str"/>
      <x:c r="K21" s="30" t="str"/>
      <x:c r="L21" s="64" t="str"/>
      <x:c r="M21" s="30" t="str"/>
      <x:c r="N21" s="30" t="str"/>
      <x:c r="O21" s="30" t="str"/>
    </x:row>
    <x:row r="22" ht="55" customHeight="1">
      <x:c r="A22" s="30" t="n">
        <x:v>18</x:v>
      </x:c>
      <x:c r="B22" s="30" t="str"/>
      <x:c r="C22" s="30" t="str"/>
      <x:c r="D22" s="30" t="str"/>
      <x:c r="E22" s="30" t="str"/>
      <x:c r="F22" s="30" t="str"/>
      <x:c r="G22" s="30" t="str"/>
      <x:c r="H22" s="30" t="str"/>
      <x:c r="I22" s="30" t="str"/>
      <x:c r="J22" s="30" t="str"/>
      <x:c r="K22" s="30" t="str"/>
      <x:c r="L22" s="64" t="str"/>
      <x:c r="M22" s="30" t="str"/>
      <x:c r="N22" s="30" t="str"/>
      <x:c r="O22" s="30" t="str"/>
    </x:row>
    <x:row r="23" ht="55" customHeight="1">
      <x:c r="A23" s="30" t="n">
        <x:v>19</x:v>
      </x:c>
      <x:c r="B23" s="30" t="str"/>
      <x:c r="C23" s="30" t="str"/>
      <x:c r="D23" s="30" t="str"/>
      <x:c r="E23" s="30" t="str"/>
      <x:c r="F23" s="30" t="str"/>
      <x:c r="G23" s="30" t="str"/>
      <x:c r="H23" s="30" t="str"/>
      <x:c r="I23" s="30" t="str"/>
      <x:c r="J23" s="30" t="str"/>
      <x:c r="K23" s="30" t="str"/>
      <x:c r="L23" s="64" t="str"/>
      <x:c r="M23" s="30" t="str"/>
      <x:c r="N23" s="30" t="str"/>
      <x:c r="O23" s="30" t="str"/>
    </x:row>
    <x:row r="24" ht="55" customHeight="1">
      <x:c r="A24" s="30" t="n">
        <x:v>20</x:v>
      </x:c>
      <x:c r="B24" s="30" t="str"/>
      <x:c r="C24" s="30" t="str"/>
      <x:c r="D24" s="30" t="str"/>
      <x:c r="E24" s="30" t="str"/>
      <x:c r="F24" s="30" t="str"/>
      <x:c r="G24" s="30" t="str"/>
      <x:c r="H24" s="30" t="str"/>
      <x:c r="I24" s="30" t="str"/>
      <x:c r="J24" s="30" t="str"/>
      <x:c r="K24" s="30" t="str"/>
      <x:c r="L24" s="64" t="str"/>
      <x:c r="M24" s="30" t="str"/>
      <x:c r="N24" s="30" t="str"/>
      <x:c r="O24" s="30" t="str"/>
    </x:row>
    <x:row r="25" ht="55" customHeight="1">
      <x:c r="A25" s="30" t="n">
        <x:v>21</x:v>
      </x:c>
      <x:c r="B25" s="30" t="str"/>
      <x:c r="C25" s="30" t="str"/>
      <x:c r="D25" s="30" t="str"/>
      <x:c r="E25" s="30" t="str"/>
      <x:c r="F25" s="30" t="str"/>
      <x:c r="G25" s="30" t="str"/>
      <x:c r="H25" s="30" t="str"/>
      <x:c r="I25" s="30" t="str"/>
      <x:c r="J25" s="30" t="str"/>
      <x:c r="K25" s="30" t="str"/>
      <x:c r="L25" s="64" t="str"/>
      <x:c r="M25" s="30" t="str"/>
      <x:c r="N25" s="30" t="str"/>
      <x:c r="O25" s="30" t="str"/>
    </x:row>
    <x:row r="26" ht="55" customHeight="1">
      <x:c r="A26" s="30" t="n">
        <x:v>22</x:v>
      </x:c>
      <x:c r="B26" s="30" t="str"/>
      <x:c r="C26" s="30" t="str"/>
      <x:c r="D26" s="30" t="str"/>
      <x:c r="E26" s="30" t="str"/>
      <x:c r="F26" s="30" t="str"/>
      <x:c r="G26" s="30" t="str"/>
      <x:c r="H26" s="30" t="str"/>
      <x:c r="I26" s="30" t="str"/>
      <x:c r="J26" s="30" t="str"/>
      <x:c r="K26" s="30" t="str"/>
      <x:c r="L26" s="64" t="str"/>
      <x:c r="M26" s="30" t="str"/>
      <x:c r="N26" s="30" t="str"/>
      <x:c r="O26" s="30" t="str"/>
    </x:row>
    <x:row r="27" ht="55" customHeight="1">
      <x:c r="A27" s="30" t="n">
        <x:v>23</x:v>
      </x:c>
      <x:c r="B27" s="30" t="str"/>
      <x:c r="C27" s="30" t="str"/>
      <x:c r="D27" s="30" t="str"/>
      <x:c r="E27" s="30" t="str"/>
      <x:c r="F27" s="30" t="str"/>
      <x:c r="G27" s="30" t="str"/>
      <x:c r="H27" s="30" t="str"/>
      <x:c r="I27" s="30" t="str"/>
      <x:c r="J27" s="30" t="str"/>
      <x:c r="K27" s="30" t="str"/>
      <x:c r="L27" s="64" t="str"/>
      <x:c r="M27" s="30" t="str"/>
      <x:c r="N27" s="30" t="str"/>
      <x:c r="O27" s="30" t="str"/>
    </x:row>
    <x:row r="28" ht="55" customHeight="1">
      <x:c r="A28" s="30" t="n">
        <x:v>24</x:v>
      </x:c>
      <x:c r="B28" s="30" t="str"/>
      <x:c r="C28" s="30" t="str"/>
      <x:c r="D28" s="30" t="str"/>
      <x:c r="E28" s="30" t="str"/>
      <x:c r="F28" s="30" t="str"/>
      <x:c r="G28" s="30" t="str"/>
      <x:c r="H28" s="30" t="str"/>
      <x:c r="I28" s="30" t="str"/>
      <x:c r="J28" s="30" t="str"/>
      <x:c r="K28" s="30" t="str"/>
      <x:c r="L28" s="64" t="str"/>
      <x:c r="M28" s="30" t="str"/>
      <x:c r="N28" s="30" t="str"/>
      <x:c r="O28" s="30" t="str"/>
    </x:row>
    <x:row r="29" ht="55" customHeight="1">
      <x:c r="A29" s="30" t="n">
        <x:v>25</x:v>
      </x:c>
      <x:c r="B29" s="30" t="str"/>
      <x:c r="C29" s="30" t="str"/>
      <x:c r="D29" s="30" t="str"/>
      <x:c r="E29" s="30" t="str"/>
      <x:c r="F29" s="30" t="str"/>
      <x:c r="G29" s="30" t="str"/>
      <x:c r="H29" s="30" t="str"/>
      <x:c r="I29" s="30" t="str"/>
      <x:c r="J29" s="30" t="str"/>
      <x:c r="K29" s="30" t="str"/>
      <x:c r="L29" s="64" t="str"/>
      <x:c r="M29" s="30" t="str"/>
      <x:c r="N29" s="30" t="str"/>
      <x:c r="O29" s="30" t="str"/>
    </x:row>
    <x:row r="30" ht="55" customHeight="1">
      <x:c r="A30" s="30" t="n">
        <x:v>26</x:v>
      </x:c>
      <x:c r="B30" s="30" t="str"/>
      <x:c r="C30" s="30" t="str"/>
      <x:c r="D30" s="30" t="str"/>
      <x:c r="E30" s="30" t="str"/>
      <x:c r="F30" s="30" t="str"/>
      <x:c r="G30" s="30" t="str"/>
      <x:c r="H30" s="30" t="str"/>
      <x:c r="I30" s="30" t="str"/>
      <x:c r="J30" s="30" t="str"/>
      <x:c r="K30" s="30" t="str"/>
      <x:c r="L30" s="64" t="str"/>
      <x:c r="M30" s="30" t="str"/>
      <x:c r="N30" s="30" t="str"/>
      <x:c r="O30" s="30" t="str"/>
    </x:row>
    <x:row r="31" ht="55" customHeight="1">
      <x:c r="A31" s="30" t="n">
        <x:v>27</x:v>
      </x:c>
      <x:c r="B31" s="30" t="str"/>
      <x:c r="C31" s="30" t="str"/>
      <x:c r="D31" s="30" t="str"/>
      <x:c r="E31" s="30" t="str"/>
      <x:c r="F31" s="30" t="str"/>
      <x:c r="G31" s="30" t="str"/>
      <x:c r="H31" s="30" t="str"/>
      <x:c r="I31" s="30" t="str"/>
      <x:c r="J31" s="30" t="str"/>
      <x:c r="K31" s="30" t="str"/>
      <x:c r="L31" s="64" t="str"/>
      <x:c r="M31" s="30" t="str"/>
      <x:c r="N31" s="30" t="str"/>
      <x:c r="O31" s="30" t="str"/>
    </x:row>
    <x:row r="32" ht="55" customHeight="1">
      <x:c r="A32" s="30" t="n">
        <x:v>28</x:v>
      </x:c>
      <x:c r="B32" s="30" t="str"/>
      <x:c r="C32" s="30" t="str"/>
      <x:c r="D32" s="30" t="str"/>
      <x:c r="E32" s="30" t="str"/>
      <x:c r="F32" s="30" t="str"/>
      <x:c r="G32" s="30" t="str"/>
      <x:c r="H32" s="30" t="str"/>
      <x:c r="I32" s="30" t="str"/>
      <x:c r="J32" s="30" t="str"/>
      <x:c r="K32" s="30" t="str"/>
      <x:c r="L32" s="64" t="str"/>
      <x:c r="M32" s="30" t="str"/>
      <x:c r="N32" s="30" t="str"/>
      <x:c r="O32" s="30" t="str"/>
    </x:row>
    <x:row r="33" ht="55" customHeight="1">
      <x:c r="A33" s="30" t="n">
        <x:v>29</x:v>
      </x:c>
      <x:c r="B33" s="30" t="str"/>
      <x:c r="C33" s="30" t="str"/>
      <x:c r="D33" s="30" t="str"/>
      <x:c r="E33" s="30" t="str"/>
      <x:c r="F33" s="30" t="str"/>
      <x:c r="G33" s="30" t="str"/>
      <x:c r="H33" s="30" t="str"/>
      <x:c r="I33" s="30" t="str"/>
      <x:c r="J33" s="30" t="str"/>
      <x:c r="K33" s="30" t="str"/>
      <x:c r="L33" s="64" t="str"/>
      <x:c r="M33" s="30" t="str"/>
      <x:c r="N33" s="30" t="str"/>
      <x:c r="O33" s="30" t="str"/>
    </x:row>
    <x:row r="34" ht="55" customHeight="1">
      <x:c r="A34" s="30" t="n">
        <x:v>30</x:v>
      </x:c>
      <x:c r="B34" s="30" t="str"/>
      <x:c r="C34" s="30" t="str"/>
      <x:c r="D34" s="30" t="str"/>
      <x:c r="E34" s="30" t="str"/>
      <x:c r="F34" s="30" t="str"/>
      <x:c r="G34" s="30" t="str"/>
      <x:c r="H34" s="30" t="str"/>
      <x:c r="I34" s="30" t="str"/>
      <x:c r="J34" s="30" t="str"/>
      <x:c r="K34" s="30" t="str"/>
      <x:c r="L34" s="64" t="str"/>
      <x:c r="M34" s="30" t="str"/>
      <x:c r="N34" s="30" t="str"/>
      <x:c r="O34" s="30" t="str"/>
    </x:row>
    <x:row r="35" ht="55" customHeight="1">
      <x:c r="A35" s="30" t="n">
        <x:v>31</x:v>
      </x:c>
      <x:c r="B35" s="30" t="str"/>
      <x:c r="C35" s="30" t="str"/>
      <x:c r="D35" s="30" t="str"/>
      <x:c r="E35" s="30" t="str"/>
      <x:c r="F35" s="30" t="str"/>
      <x:c r="G35" s="30" t="str"/>
      <x:c r="H35" s="30" t="str"/>
      <x:c r="I35" s="30" t="str"/>
      <x:c r="J35" s="30" t="str"/>
      <x:c r="K35" s="30" t="str"/>
      <x:c r="L35" s="64" t="str"/>
      <x:c r="M35" s="30" t="str"/>
      <x:c r="N35" s="30" t="str"/>
      <x:c r="O35" s="30" t="str"/>
    </x:row>
    <x:row r="36" ht="55" customHeight="1">
      <x:c r="A36" s="30" t="n">
        <x:v>32</x:v>
      </x:c>
      <x:c r="B36" s="30" t="str"/>
      <x:c r="C36" s="30" t="str"/>
      <x:c r="D36" s="30" t="str"/>
      <x:c r="E36" s="30" t="str"/>
      <x:c r="F36" s="30" t="str"/>
      <x:c r="G36" s="30" t="str"/>
      <x:c r="H36" s="30" t="str"/>
      <x:c r="I36" s="30" t="str"/>
      <x:c r="J36" s="30" t="str"/>
      <x:c r="K36" s="30" t="str"/>
      <x:c r="L36" s="64" t="str"/>
      <x:c r="M36" s="30" t="str"/>
      <x:c r="N36" s="30" t="str"/>
      <x:c r="O36" s="30" t="str"/>
    </x:row>
    <x:row r="37" ht="55" customHeight="1">
      <x:c r="A37" s="30" t="n">
        <x:v>33</x:v>
      </x:c>
      <x:c r="B37" s="30" t="str"/>
      <x:c r="C37" s="30" t="str"/>
      <x:c r="D37" s="30" t="str"/>
      <x:c r="E37" s="30" t="str"/>
      <x:c r="F37" s="30" t="str"/>
      <x:c r="G37" s="30" t="str"/>
      <x:c r="H37" s="30" t="str"/>
      <x:c r="I37" s="30" t="str"/>
      <x:c r="J37" s="30" t="str"/>
      <x:c r="K37" s="30" t="str"/>
      <x:c r="L37" s="64" t="str"/>
      <x:c r="M37" s="30" t="str"/>
      <x:c r="N37" s="30" t="str"/>
      <x:c r="O37" s="30" t="str"/>
    </x:row>
    <x:row r="38" ht="55" customHeight="1">
      <x:c r="A38" s="30" t="n">
        <x:v>34</x:v>
      </x:c>
      <x:c r="B38" s="30" t="str"/>
      <x:c r="C38" s="30" t="str"/>
      <x:c r="D38" s="30" t="str"/>
      <x:c r="E38" s="30" t="str"/>
      <x:c r="F38" s="30" t="str"/>
      <x:c r="G38" s="30" t="str"/>
      <x:c r="H38" s="30" t="str"/>
      <x:c r="I38" s="30" t="str"/>
      <x:c r="J38" s="30" t="str"/>
      <x:c r="K38" s="30" t="str"/>
      <x:c r="L38" s="64" t="str"/>
      <x:c r="M38" s="30" t="str"/>
      <x:c r="N38" s="30" t="str"/>
      <x:c r="O38" s="30" t="str"/>
    </x:row>
    <x:row r="39" ht="55" customHeight="1">
      <x:c r="A39" s="30" t="n">
        <x:v>35</x:v>
      </x:c>
      <x:c r="B39" s="30" t="str"/>
      <x:c r="C39" s="30" t="str"/>
      <x:c r="D39" s="30" t="str"/>
      <x:c r="E39" s="30" t="str"/>
      <x:c r="F39" s="30" t="str"/>
      <x:c r="G39" s="30" t="str"/>
      <x:c r="H39" s="30" t="str"/>
      <x:c r="I39" s="30" t="str"/>
      <x:c r="J39" s="30" t="str"/>
      <x:c r="K39" s="30" t="str"/>
      <x:c r="L39" s="64" t="str"/>
      <x:c r="M39" s="30" t="str"/>
      <x:c r="N39" s="30" t="str"/>
      <x:c r="O39" s="30" t="str"/>
    </x:row>
    <x:row r="40" ht="55" customHeight="1">
      <x:c r="A40" s="30" t="n">
        <x:v>36</x:v>
      </x:c>
      <x:c r="B40" s="30" t="str"/>
      <x:c r="C40" s="30" t="str"/>
      <x:c r="D40" s="30" t="str"/>
      <x:c r="E40" s="30" t="str"/>
      <x:c r="F40" s="30" t="str"/>
      <x:c r="G40" s="30" t="str"/>
      <x:c r="H40" s="30" t="str"/>
      <x:c r="I40" s="30" t="str"/>
      <x:c r="J40" s="30" t="str"/>
      <x:c r="K40" s="30" t="str"/>
      <x:c r="L40" s="64" t="str"/>
      <x:c r="M40" s="30" t="str"/>
      <x:c r="N40" s="30" t="str"/>
      <x:c r="O40" s="30" t="str"/>
    </x:row>
    <x:row r="41" ht="55" customHeight="1">
      <x:c r="A41" s="30" t="n">
        <x:v>37</x:v>
      </x:c>
      <x:c r="B41" s="30" t="str"/>
      <x:c r="C41" s="30" t="str"/>
      <x:c r="D41" s="30" t="str"/>
      <x:c r="E41" s="30" t="str"/>
      <x:c r="F41" s="30" t="str"/>
      <x:c r="G41" s="30" t="str"/>
      <x:c r="H41" s="30" t="str"/>
      <x:c r="I41" s="30" t="str"/>
      <x:c r="J41" s="30" t="str"/>
      <x:c r="K41" s="30" t="str"/>
      <x:c r="L41" s="64" t="str"/>
      <x:c r="M41" s="30" t="str"/>
      <x:c r="N41" s="30" t="str"/>
      <x:c r="O41" s="30" t="str"/>
    </x:row>
    <x:row r="42" ht="55" customHeight="1">
      <x:c r="A42" s="30" t="n">
        <x:v>38</x:v>
      </x:c>
      <x:c r="B42" s="30" t="str"/>
      <x:c r="C42" s="30" t="str"/>
      <x:c r="D42" s="30" t="str"/>
      <x:c r="E42" s="30" t="str"/>
      <x:c r="F42" s="30" t="str"/>
      <x:c r="G42" s="30" t="str"/>
      <x:c r="H42" s="30" t="str"/>
      <x:c r="I42" s="30" t="str"/>
      <x:c r="J42" s="30" t="str"/>
      <x:c r="K42" s="30" t="str"/>
      <x:c r="L42" s="64" t="str"/>
      <x:c r="M42" s="30" t="str"/>
      <x:c r="N42" s="30" t="str"/>
      <x:c r="O42" s="30" t="str"/>
    </x:row>
    <x:row r="43" ht="55" customHeight="1">
      <x:c r="A43" s="30" t="n">
        <x:v>39</x:v>
      </x:c>
      <x:c r="B43" s="30" t="str"/>
      <x:c r="C43" s="30" t="str"/>
      <x:c r="D43" s="30" t="str"/>
      <x:c r="E43" s="30" t="str"/>
      <x:c r="F43" s="30" t="str"/>
      <x:c r="G43" s="30" t="str"/>
      <x:c r="H43" s="30" t="str"/>
      <x:c r="I43" s="30" t="str"/>
      <x:c r="J43" s="30" t="str"/>
      <x:c r="K43" s="30" t="str"/>
      <x:c r="L43" s="64" t="str"/>
      <x:c r="M43" s="30" t="str"/>
      <x:c r="N43" s="30" t="str"/>
      <x:c r="O43" s="30" t="str"/>
    </x:row>
    <x:row r="44" ht="55" customHeight="1">
      <x:c r="A44" s="30" t="n">
        <x:v>40</x:v>
      </x:c>
      <x:c r="B44" s="30" t="str"/>
      <x:c r="C44" s="30" t="str"/>
      <x:c r="D44" s="30" t="str"/>
      <x:c r="E44" s="30" t="str"/>
      <x:c r="F44" s="30" t="str"/>
      <x:c r="G44" s="30" t="str"/>
      <x:c r="H44" s="30" t="str"/>
      <x:c r="I44" s="30" t="str"/>
      <x:c r="J44" s="30" t="str"/>
      <x:c r="K44" s="30" t="str"/>
      <x:c r="L44" s="64" t="str"/>
      <x:c r="M44" s="30" t="str"/>
      <x:c r="N44" s="30" t="str"/>
      <x:c r="O44" s="30" t="str"/>
    </x:row>
    <x:row r="45" ht="55" customHeight="1">
      <x:c r="A45" s="30" t="n">
        <x:v>41</x:v>
      </x:c>
      <x:c r="B45" s="30" t="str"/>
      <x:c r="C45" s="30" t="str"/>
      <x:c r="D45" s="30" t="str"/>
      <x:c r="E45" s="30" t="str"/>
      <x:c r="F45" s="30" t="str"/>
      <x:c r="G45" s="30" t="str"/>
      <x:c r="H45" s="30" t="str"/>
      <x:c r="I45" s="30" t="str"/>
      <x:c r="J45" s="30" t="str"/>
      <x:c r="K45" s="30" t="str"/>
      <x:c r="L45" s="64" t="str"/>
      <x:c r="M45" s="30" t="str"/>
      <x:c r="N45" s="30" t="str"/>
      <x:c r="O45" s="30" t="str"/>
    </x:row>
    <x:row r="46" ht="55" customHeight="1">
      <x:c r="A46" s="30" t="n">
        <x:v>42</x:v>
      </x:c>
      <x:c r="B46" s="30" t="str"/>
      <x:c r="C46" s="30" t="str"/>
      <x:c r="D46" s="30" t="str"/>
      <x:c r="E46" s="30" t="str"/>
      <x:c r="F46" s="30" t="str"/>
      <x:c r="G46" s="30" t="str"/>
      <x:c r="H46" s="30" t="str"/>
      <x:c r="I46" s="30" t="str"/>
      <x:c r="J46" s="30" t="str"/>
      <x:c r="K46" s="30" t="str"/>
      <x:c r="L46" s="64" t="str"/>
      <x:c r="M46" s="30" t="str"/>
      <x:c r="N46" s="30" t="str"/>
      <x:c r="O46" s="30" t="str"/>
    </x:row>
    <x:row r="47" ht="55" customHeight="1">
      <x:c r="A47" s="30" t="n">
        <x:v>43</x:v>
      </x:c>
      <x:c r="B47" s="30" t="str"/>
      <x:c r="C47" s="30" t="str"/>
      <x:c r="D47" s="30" t="str"/>
      <x:c r="E47" s="30" t="str"/>
      <x:c r="F47" s="30" t="str"/>
      <x:c r="G47" s="30" t="str"/>
      <x:c r="H47" s="30" t="str"/>
      <x:c r="I47" s="30" t="str"/>
      <x:c r="J47" s="30" t="str"/>
      <x:c r="K47" s="30" t="str"/>
      <x:c r="L47" s="64" t="str"/>
      <x:c r="M47" s="30" t="str"/>
      <x:c r="N47" s="30" t="str"/>
      <x:c r="O47" s="30" t="str"/>
    </x:row>
    <x:row r="48" ht="55" customHeight="1">
      <x:c r="A48" s="30" t="n">
        <x:v>44</x:v>
      </x:c>
      <x:c r="B48" s="30" t="str"/>
      <x:c r="C48" s="30" t="str"/>
      <x:c r="D48" s="30" t="str"/>
      <x:c r="E48" s="30" t="str"/>
      <x:c r="F48" s="30" t="str"/>
      <x:c r="G48" s="30" t="str"/>
      <x:c r="H48" s="30" t="str"/>
      <x:c r="I48" s="30" t="str"/>
      <x:c r="J48" s="30" t="str"/>
      <x:c r="K48" s="30" t="str"/>
      <x:c r="L48" s="64" t="str"/>
      <x:c r="M48" s="30" t="str"/>
      <x:c r="N48" s="30" t="str"/>
      <x:c r="O48" s="30" t="str"/>
    </x:row>
    <x:row r="49" ht="55" customHeight="1">
      <x:c r="A49" s="30" t="n">
        <x:v>45</x:v>
      </x:c>
      <x:c r="B49" s="30" t="str"/>
      <x:c r="C49" s="30" t="str"/>
      <x:c r="D49" s="30" t="str"/>
      <x:c r="E49" s="30" t="str"/>
      <x:c r="F49" s="30" t="str"/>
      <x:c r="G49" s="30" t="str"/>
      <x:c r="H49" s="30" t="str"/>
      <x:c r="I49" s="30" t="str"/>
      <x:c r="J49" s="30" t="str"/>
      <x:c r="K49" s="30" t="str"/>
      <x:c r="L49" s="64" t="str"/>
      <x:c r="M49" s="30" t="str"/>
      <x:c r="N49" s="30" t="str"/>
      <x:c r="O49" s="30" t="str"/>
    </x:row>
    <x:row r="50" ht="55" customHeight="1">
      <x:c r="A50" s="30" t="n">
        <x:v>46</x:v>
      </x:c>
      <x:c r="B50" s="30" t="str"/>
      <x:c r="C50" s="30" t="str"/>
      <x:c r="D50" s="30" t="str"/>
      <x:c r="E50" s="30" t="str"/>
      <x:c r="F50" s="30" t="str"/>
      <x:c r="G50" s="30" t="str"/>
      <x:c r="H50" s="30" t="str"/>
      <x:c r="I50" s="30" t="str"/>
      <x:c r="J50" s="30" t="str"/>
      <x:c r="K50" s="30" t="str"/>
      <x:c r="L50" s="64" t="str"/>
      <x:c r="M50" s="30" t="str"/>
      <x:c r="N50" s="30" t="str"/>
      <x:c r="O50" s="30" t="str"/>
    </x:row>
    <x:row r="51" ht="55" customHeight="1">
      <x:c r="A51" s="30" t="n">
        <x:v>47</x:v>
      </x:c>
      <x:c r="B51" s="30" t="str"/>
      <x:c r="C51" s="30" t="str"/>
      <x:c r="D51" s="30" t="str"/>
      <x:c r="E51" s="30" t="str"/>
      <x:c r="F51" s="30" t="str"/>
      <x:c r="G51" s="30" t="str"/>
      <x:c r="H51" s="30" t="str"/>
      <x:c r="I51" s="30" t="str"/>
      <x:c r="J51" s="30" t="str"/>
      <x:c r="K51" s="30" t="str"/>
      <x:c r="L51" s="64" t="str"/>
      <x:c r="M51" s="30" t="str"/>
      <x:c r="N51" s="30" t="str"/>
      <x:c r="O51" s="30" t="str"/>
    </x:row>
    <x:row r="52" ht="55" customHeight="1">
      <x:c r="A52" s="30" t="n">
        <x:v>48</x:v>
      </x:c>
      <x:c r="B52" s="30" t="str"/>
      <x:c r="C52" s="30" t="str"/>
      <x:c r="D52" s="30" t="str"/>
      <x:c r="E52" s="30" t="str"/>
      <x:c r="F52" s="30" t="str"/>
      <x:c r="G52" s="30" t="str"/>
      <x:c r="H52" s="30" t="str"/>
      <x:c r="I52" s="30" t="str"/>
      <x:c r="J52" s="30" t="str"/>
      <x:c r="K52" s="30" t="str"/>
      <x:c r="L52" s="64" t="str"/>
      <x:c r="M52" s="30" t="str"/>
      <x:c r="N52" s="30" t="str"/>
      <x:c r="O52" s="30" t="str"/>
    </x:row>
    <x:row r="53" ht="55" customHeight="1">
      <x:c r="A53" s="30" t="n">
        <x:v>49</x:v>
      </x:c>
      <x:c r="B53" s="30" t="str"/>
      <x:c r="C53" s="30" t="str"/>
      <x:c r="D53" s="30" t="str"/>
      <x:c r="E53" s="30" t="str"/>
      <x:c r="F53" s="30" t="str"/>
      <x:c r="G53" s="30" t="str"/>
      <x:c r="H53" s="30" t="str"/>
      <x:c r="I53" s="30" t="str"/>
      <x:c r="J53" s="30" t="str"/>
      <x:c r="K53" s="30" t="str"/>
      <x:c r="L53" s="64" t="str"/>
      <x:c r="M53" s="30" t="str"/>
      <x:c r="N53" s="30" t="str"/>
      <x:c r="O53" s="30" t="str"/>
    </x:row>
    <x:row r="54" ht="55" customHeight="1">
      <x:c r="A54" s="30" t="n">
        <x:v>50</x:v>
      </x:c>
      <x:c r="B54" s="30" t="str"/>
      <x:c r="C54" s="30" t="str"/>
      <x:c r="D54" s="30" t="str"/>
      <x:c r="E54" s="30" t="str"/>
      <x:c r="F54" s="30" t="str"/>
      <x:c r="G54" s="30" t="str"/>
      <x:c r="H54" s="30" t="str"/>
      <x:c r="I54" s="30" t="str"/>
      <x:c r="J54" s="30" t="str"/>
      <x:c r="K54" s="30" t="str"/>
      <x:c r="L54" s="64" t="str"/>
      <x:c r="M54" s="30" t="str"/>
      <x:c r="N54" s="30" t="str"/>
      <x:c r="O54" s="30" t="str"/>
    </x:row>
    <x:row r="55" ht="55" customHeight="1">
      <x:c r="A55" s="30" t="n">
        <x:v>51</x:v>
      </x:c>
      <x:c r="B55" s="30" t="str"/>
      <x:c r="C55" s="30" t="str"/>
      <x:c r="D55" s="30" t="str"/>
      <x:c r="E55" s="30" t="str"/>
      <x:c r="F55" s="30" t="str"/>
      <x:c r="G55" s="30" t="str"/>
      <x:c r="H55" s="30" t="str"/>
      <x:c r="I55" s="30" t="str"/>
      <x:c r="J55" s="30" t="str"/>
      <x:c r="K55" s="30" t="str"/>
      <x:c r="L55" s="64" t="str"/>
      <x:c r="M55" s="30" t="str"/>
      <x:c r="N55" s="30" t="str"/>
      <x:c r="O55" s="30" t="str"/>
    </x:row>
    <x:row r="56" ht="55" customHeight="1">
      <x:c r="A56" s="30" t="n">
        <x:v>52</x:v>
      </x:c>
      <x:c r="B56" s="30" t="str"/>
      <x:c r="C56" s="30" t="str"/>
      <x:c r="D56" s="30" t="str"/>
      <x:c r="E56" s="30" t="str"/>
      <x:c r="F56" s="30" t="str"/>
      <x:c r="G56" s="30" t="str"/>
      <x:c r="H56" s="30" t="str"/>
      <x:c r="I56" s="30" t="str"/>
      <x:c r="J56" s="30" t="str"/>
      <x:c r="K56" s="30" t="str"/>
      <x:c r="L56" s="64" t="str"/>
      <x:c r="M56" s="30" t="str"/>
      <x:c r="N56" s="30" t="str"/>
      <x:c r="O56" s="30" t="str"/>
    </x:row>
    <x:row r="57" ht="55" customHeight="1">
      <x:c r="A57" s="30" t="n">
        <x:v>53</x:v>
      </x:c>
      <x:c r="B57" s="30" t="str"/>
      <x:c r="C57" s="30" t="str"/>
      <x:c r="D57" s="30" t="str"/>
      <x:c r="E57" s="30" t="str"/>
      <x:c r="F57" s="30" t="str"/>
      <x:c r="G57" s="30" t="str"/>
      <x:c r="H57" s="30" t="str"/>
      <x:c r="I57" s="30" t="str"/>
      <x:c r="J57" s="30" t="str"/>
      <x:c r="K57" s="30" t="str"/>
      <x:c r="L57" s="64" t="str"/>
      <x:c r="M57" s="30" t="str"/>
      <x:c r="N57" s="30" t="str"/>
      <x:c r="O57" s="30" t="str"/>
    </x:row>
    <x:row r="58" ht="55" customHeight="1">
      <x:c r="A58" s="30" t="n">
        <x:v>54</x:v>
      </x:c>
      <x:c r="B58" s="30" t="str"/>
      <x:c r="C58" s="30" t="str"/>
      <x:c r="D58" s="30" t="str"/>
      <x:c r="E58" s="30" t="str"/>
      <x:c r="F58" s="30" t="str"/>
      <x:c r="G58" s="30" t="str"/>
      <x:c r="H58" s="30" t="str"/>
      <x:c r="I58" s="30" t="str"/>
      <x:c r="J58" s="30" t="str"/>
      <x:c r="K58" s="30" t="str"/>
      <x:c r="L58" s="64" t="str"/>
      <x:c r="M58" s="30" t="str"/>
      <x:c r="N58" s="30" t="str"/>
      <x:c r="O58" s="30" t="str"/>
    </x:row>
    <x:row r="59" ht="55" customHeight="1">
      <x:c r="A59" s="30" t="n">
        <x:v>55</x:v>
      </x:c>
      <x:c r="B59" s="30" t="str"/>
      <x:c r="C59" s="30" t="str"/>
      <x:c r="D59" s="30" t="str"/>
      <x:c r="E59" s="30" t="str"/>
      <x:c r="F59" s="30" t="str"/>
      <x:c r="G59" s="30" t="str"/>
      <x:c r="H59" s="30" t="str"/>
      <x:c r="I59" s="30" t="str"/>
      <x:c r="J59" s="30" t="str"/>
      <x:c r="K59" s="30" t="str"/>
      <x:c r="L59" s="64" t="str"/>
      <x:c r="M59" s="30" t="str"/>
      <x:c r="N59" s="30" t="str"/>
      <x:c r="O59" s="30" t="str"/>
    </x:row>
    <x:row r="60" ht="55" customHeight="1">
      <x:c r="A60" s="30" t="n">
        <x:v>56</x:v>
      </x:c>
      <x:c r="B60" s="30" t="str"/>
      <x:c r="C60" s="30" t="str"/>
      <x:c r="D60" s="30" t="str"/>
      <x:c r="E60" s="30" t="str"/>
      <x:c r="F60" s="30" t="str"/>
      <x:c r="G60" s="30" t="str"/>
      <x:c r="H60" s="30" t="str"/>
      <x:c r="I60" s="30" t="str"/>
      <x:c r="J60" s="30" t="str"/>
      <x:c r="K60" s="30" t="str"/>
      <x:c r="L60" s="64" t="str"/>
      <x:c r="M60" s="30" t="str"/>
      <x:c r="N60" s="30" t="str"/>
      <x:c r="O60" s="30" t="str"/>
    </x:row>
    <x:row r="61" ht="55" customHeight="1">
      <x:c r="A61" s="30" t="n">
        <x:v>57</x:v>
      </x:c>
      <x:c r="B61" s="30" t="str"/>
      <x:c r="C61" s="30" t="str"/>
      <x:c r="D61" s="30" t="str"/>
      <x:c r="E61" s="30" t="str"/>
      <x:c r="F61" s="30" t="str"/>
      <x:c r="G61" s="30" t="str"/>
      <x:c r="H61" s="30" t="str"/>
      <x:c r="I61" s="30" t="str"/>
      <x:c r="J61" s="30" t="str"/>
      <x:c r="K61" s="30" t="str"/>
      <x:c r="L61" s="64" t="str"/>
      <x:c r="M61" s="30" t="str"/>
      <x:c r="N61" s="30" t="str"/>
      <x:c r="O61" s="30" t="str"/>
    </x:row>
    <x:row r="62" ht="55" customHeight="1">
      <x:c r="A62" s="30" t="n">
        <x:v>58</x:v>
      </x:c>
      <x:c r="B62" s="30" t="str"/>
      <x:c r="C62" s="30" t="str"/>
      <x:c r="D62" s="30" t="str"/>
      <x:c r="E62" s="30" t="str"/>
      <x:c r="F62" s="30" t="str"/>
      <x:c r="G62" s="30" t="str"/>
      <x:c r="H62" s="30" t="str"/>
      <x:c r="I62" s="30" t="str"/>
      <x:c r="J62" s="30" t="str"/>
      <x:c r="K62" s="30" t="str"/>
      <x:c r="L62" s="64" t="str"/>
      <x:c r="M62" s="30" t="str"/>
      <x:c r="N62" s="30" t="str"/>
      <x:c r="O62" s="30" t="str"/>
    </x:row>
    <x:row r="63" ht="55" customHeight="1">
      <x:c r="A63" s="30" t="n">
        <x:v>59</x:v>
      </x:c>
      <x:c r="B63" s="30" t="str"/>
      <x:c r="C63" s="30" t="str"/>
      <x:c r="D63" s="30" t="str"/>
      <x:c r="E63" s="30" t="str"/>
      <x:c r="F63" s="30" t="str"/>
      <x:c r="G63" s="30" t="str"/>
      <x:c r="H63" s="30" t="str"/>
      <x:c r="I63" s="30" t="str"/>
      <x:c r="J63" s="30" t="str"/>
      <x:c r="K63" s="30" t="str"/>
      <x:c r="L63" s="64" t="str"/>
      <x:c r="M63" s="30" t="str"/>
      <x:c r="N63" s="30" t="str"/>
      <x:c r="O63" s="30" t="str"/>
    </x:row>
    <x:row r="64" ht="55" customHeight="1">
      <x:c r="A64" s="30" t="n">
        <x:v>60</x:v>
      </x:c>
      <x:c r="B64" s="30" t="str"/>
      <x:c r="C64" s="30" t="str"/>
      <x:c r="D64" s="30" t="str"/>
      <x:c r="E64" s="30" t="str"/>
      <x:c r="F64" s="30" t="str"/>
      <x:c r="G64" s="30" t="str"/>
      <x:c r="H64" s="30" t="str"/>
      <x:c r="I64" s="30" t="str"/>
      <x:c r="J64" s="30" t="str"/>
      <x:c r="K64" s="30" t="str"/>
      <x:c r="L64" s="64" t="str"/>
      <x:c r="M64" s="30" t="str"/>
      <x:c r="N64" s="30" t="str"/>
      <x:c r="O64" s="30" t="str"/>
    </x:row>
  </x:sheetData>
  <x:mergeCells>
    <x:mergeCell ref="A1:O1"/>
  </x:mergeCells>
  <x:conditionalFormatting sqref="G5:G64">
    <x:cfRule type="expression" dxfId="1" priority="1">
      <x:formula>G5="异常"</x:formula>
    </x:cfRule>
    <x:cfRule type="expression" dxfId="2" priority="2">
      <x:formula>G5="正常"</x:formula>
    </x:cfRule>
    <x:cfRule type="expression" dxfId="3" priority="3">
      <x:formula>G5="待复核"</x:formula>
    </x:cfRule>
  </x:conditionalFormatting>
  <x:conditionalFormatting sqref="R5:R5">
    <x:cfRule type="cellIs" dxfId="4" priority="4" operator="greaterThan">
      <x:formula>0</x:formula>
    </x:cfRule>
  </x:conditionalFormatting>
  <x:dataValidations count="4">
    <x:dataValidation type="list" sqref="E2">
      <x:formula1>下拉选项!$C$2:$C$4</x:formula1>
    </x:dataValidation>
    <x:dataValidation type="list" sqref="B5:B64">
      <x:formula1>下拉选项!$B$2:$B$19</x:formula1>
    </x:dataValidation>
    <x:dataValidation type="list" sqref="G5:G64">
      <x:formula1>下拉选项!$A$2:$A$5</x:formula1>
    </x:dataValidation>
    <x:dataValidation type="list" sqref="M5:M64">
      <x:formula1>"合格,不合格,待复查,不适用"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ed897902df40c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00" hidden="0" customWidth="1"/>
  </x:cols>
  <x:sheetData>
    <x:row r="1">
      <x:c r="A1" s="22" t="str">
        <x:v>内容</x:v>
      </x:c>
      <x:c r="B1" s="22" t="str">
        <x:v>说明/来源</x:v>
      </x:c>
    </x:row>
    <x:row r="2" ht="46" customHeight="1">
      <x:c r="A2" s="28" t="str">
        <x:v>使用原则</x:v>
      </x:c>
      <x:c r="B2" s="28" t="str">
        <x:v>本工作簿是通用巡检模板。设备的温度、压力、转速、氧含量、液位等“安全范围”必须由设计文件、工艺安全分析、设备说明书和企业批准的操作规程确定。</x:v>
      </x:c>
    </x:row>
    <x:row r="3" ht="46" customHeight="1">
      <x:c r="A3" s="28" t="str">
        <x:v>异常处置原则</x:v>
      </x:c>
      <x:c r="B3" s="28" t="str">
        <x:v>发现超温、超压、失冷、停搅拌、泄漏、关键联锁失效等情况时，应优先停止危险物料和能量输入，按企业异常工况处置卡执行；不得仅依靠经验继续运行。</x:v>
      </x:c>
    </x:row>
    <x:row r="4" ht="46" customHeight="1">
      <x:c r="A4" s="28" t="str">
        <x:v>法定检验提示</x:v>
      </x:c>
      <x:c r="B4" s="28" t="str">
        <x:v>压力容器、锅炉、压力管道、安全阀等可能属于特种设备或安全附件，应依据所在地法规、使用登记和检验报告确定法定检验周期。</x:v>
      </x:c>
    </x:row>
    <x:row r="5" ht="46" customHeight="1">
      <x:c r="A5" s="28" t="str">
        <x:v>PPE提示</x:v>
      </x:c>
      <x:c r="B5" s="28" t="str">
        <x:v>防护用品应由化学品SDS、暴露途径、浓度和作业方式决定；呼吸防护必须考虑滤盒适用性、浓度上限和密合性。</x:v>
      </x:c>
    </x:row>
    <x:row r="6" ht="46" customHeight="1">
      <x:c r="A6" s="28" t="str">
        <x:v>应急管理部：化工企业生产过程异常工况安全处置准则</x:v>
      </x:c>
      <x:c r="B6" s="28" t="str">
        <x:v>https://www.mem.gov.cn/gk/zfxxgkpt/fdzdgknr/202404/t20240430_486684.shtml</x:v>
      </x:c>
    </x:row>
    <x:row r="7" ht="46" customHeight="1">
      <x:c r="A7" s="28" t="str">
        <x:v>OSHA 1910.119 过程安全管理（机械完整性）</x:v>
      </x:c>
      <x:c r="B7" s="28" t="str">
        <x:v>https://www.osha.gov/laws-regs/regulations/standardnumber/1910/1910.119</x:v>
      </x:c>
    </x:row>
    <x:row r="8" ht="46" customHeight="1">
      <x:c r="A8" s="28" t="str">
        <x:v>HSE Reaction/Product Testing（反应失控风险）</x:v>
      </x:c>
      <x:c r="B8" s="28" t="str">
        <x:v>https://www.hse.gov.uk/comah/sragtech/techmeasreaction.htm</x:v>
      </x:c>
    </x:row>
    <x:row r="9" ht="46" customHeight="1">
      <x:c r="A9" s="28" t="str">
        <x:v>HSE Control Systems（控制、搅拌和保护系统）</x:v>
      </x:c>
      <x:c r="B9" s="28" t="str">
        <x:v>https://www.hse.gov.uk/comah/sragtech/techmeascontsyst.htm</x:v>
      </x:c>
    </x:row>
    <x:row r="10" ht="46" customHeight="1">
      <x:c r="A10" s="28" t="str">
        <x:v>全国标准信息公共服务平台</x:v>
      </x:c>
      <x:c r="B10" s="28" t="str">
        <x:v>https://std.samr.gov.cn/</x:v>
      </x:c>
    </x:row>
    <x:row r="11" ht="46" customHeight="1">
      <x:c r="A11" s="28" t="str">
        <x:v>版本日期</x:v>
      </x:c>
      <x:c r="B11" s="28" t="str">
        <x:v>2026-07-13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22" t="str">
        <x:v>检查结果</x:v>
      </x:c>
      <x:c r="B1" s="22" t="str">
        <x:v>设备名称</x:v>
      </x:c>
      <x:c r="C1" s="22" t="str">
        <x:v>班次</x:v>
      </x:c>
    </x:row>
    <x:row r="2">
      <x:c r="A2" t="str">
        <x:v>正常</x:v>
      </x:c>
      <x:c r="B2" t="str">
        <x:v>反应釜</x:v>
      </x:c>
      <x:c r="C2" t="str">
        <x:v>白班</x:v>
      </x:c>
    </x:row>
    <x:row r="3">
      <x:c r="A3" t="str">
        <x:v>异常</x:v>
      </x:c>
      <x:c r="B3" t="str">
        <x:v>化学品储罐</x:v>
      </x:c>
      <x:c r="C3" t="str">
        <x:v>中班</x:v>
      </x:c>
    </x:row>
    <x:row r="4">
      <x:c r="A4" t="str">
        <x:v>不适用</x:v>
      </x:c>
      <x:c r="B4" t="str">
        <x:v>蒸馏塔/精馏塔</x:v>
      </x:c>
      <x:c r="C4" t="str">
        <x:v>夜班</x:v>
      </x:c>
    </x:row>
    <x:row r="5">
      <x:c r="A5" t="str">
        <x:v>待复核</x:v>
      </x:c>
      <x:c r="B5" t="str">
        <x:v>换热器/冷凝器</x:v>
      </x:c>
    </x:row>
    <x:row r="6">
      <x:c r="B6" t="str">
        <x:v>离心泵/计量泵</x:v>
      </x:c>
    </x:row>
    <x:row r="7">
      <x:c r="B7" t="str">
        <x:v>气体压缩机</x:v>
      </x:c>
    </x:row>
    <x:row r="8">
      <x:c r="B8" t="str">
        <x:v>离心机</x:v>
      </x:c>
    </x:row>
    <x:row r="9">
      <x:c r="B9" t="str">
        <x:v>真空干燥箱/回转干燥机</x:v>
      </x:c>
    </x:row>
    <x:row r="10">
      <x:c r="B10" t="str">
        <x:v>过滤器/压滤机</x:v>
      </x:c>
    </x:row>
    <x:row r="11">
      <x:c r="B11" t="str">
        <x:v>蒸汽锅炉</x:v>
      </x:c>
    </x:row>
    <x:row r="12">
      <x:c r="B12" t="str">
        <x:v>压力容器/气液分离罐</x:v>
      </x:c>
    </x:row>
    <x:row r="13">
      <x:c r="B13" t="str">
        <x:v>工艺管道与阀门</x:v>
      </x:c>
    </x:row>
    <x:row r="14">
      <x:c r="B14" t="str">
        <x:v>制冷机组/冷水机</x:v>
      </x:c>
    </x:row>
    <x:row r="15">
      <x:c r="B15" t="str">
        <x:v>常压搅拌槽</x:v>
      </x:c>
    </x:row>
    <x:row r="16">
      <x:c r="B16" t="str">
        <x:v>尾气吸收塔/洗涤塔</x:v>
      </x:c>
    </x:row>
    <x:row r="17">
      <x:c r="B17" t="str">
        <x:v>粉碎机/筛分机</x:v>
      </x:c>
    </x:row>
    <x:row r="18">
      <x:c r="B18" t="str">
        <x:v>工业气瓶</x:v>
      </x:c>
    </x:row>
    <x:row r="19">
      <x:c r="B19" t="str">
        <x:v>防爆电气与仪表系统</x:v>
      </x:c>
    </x:row>
  </x:sheetData>
  <x:pageMargins left="0.7" right="0.7" top="0.75" bottom="0.75" header="0.3" footer="0.3"/>
</x:worksheet>
</file>